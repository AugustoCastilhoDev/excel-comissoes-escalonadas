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asti\Downloads\"/>
    </mc:Choice>
  </mc:AlternateContent>
  <xr:revisionPtr revIDLastSave="0" documentId="13_ncr:1_{561FEDFD-0432-40F1-9A7B-7C0D4188D3C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🏠 Início" sheetId="1" r:id="rId1"/>
    <sheet name="⚙️ Configuração" sheetId="2" r:id="rId2"/>
    <sheet name="📊 Lançamentos" sheetId="3" r:id="rId3"/>
    <sheet name="🏆 Dashboard" sheetId="4" r:id="rId4"/>
    <sheet name="💻 Código VBA" sheetId="5" r:id="rId5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" i="4" l="1"/>
  <c r="B10" i="4"/>
  <c r="C9" i="4"/>
  <c r="B9" i="4"/>
  <c r="D9" i="4" s="1"/>
  <c r="H9" i="4" s="1"/>
  <c r="C8" i="4"/>
  <c r="B8" i="4"/>
  <c r="C7" i="4"/>
  <c r="B7" i="4"/>
  <c r="C6" i="4"/>
  <c r="C11" i="4" s="1"/>
  <c r="B6" i="4"/>
  <c r="E15" i="3"/>
  <c r="I14" i="3"/>
  <c r="H14" i="3"/>
  <c r="G14" i="3"/>
  <c r="F14" i="3"/>
  <c r="J14" i="3" s="1"/>
  <c r="A14" i="3"/>
  <c r="I13" i="3"/>
  <c r="H13" i="3"/>
  <c r="G13" i="3"/>
  <c r="F13" i="3"/>
  <c r="J13" i="3" s="1"/>
  <c r="A13" i="3"/>
  <c r="I12" i="3"/>
  <c r="H12" i="3"/>
  <c r="G12" i="3"/>
  <c r="F12" i="3"/>
  <c r="J12" i="3" s="1"/>
  <c r="A12" i="3"/>
  <c r="I11" i="3"/>
  <c r="H11" i="3"/>
  <c r="G11" i="3"/>
  <c r="F11" i="3"/>
  <c r="J11" i="3" s="1"/>
  <c r="A11" i="3"/>
  <c r="I10" i="3"/>
  <c r="H10" i="3"/>
  <c r="G10" i="3"/>
  <c r="F10" i="3"/>
  <c r="J10" i="3" s="1"/>
  <c r="A10" i="3"/>
  <c r="I9" i="3"/>
  <c r="H9" i="3"/>
  <c r="G9" i="3"/>
  <c r="F9" i="3"/>
  <c r="J9" i="3" s="1"/>
  <c r="E10" i="4" s="1"/>
  <c r="A9" i="3"/>
  <c r="I8" i="3"/>
  <c r="H8" i="3"/>
  <c r="G8" i="3"/>
  <c r="F8" i="3"/>
  <c r="J8" i="3" s="1"/>
  <c r="E9" i="4" s="1"/>
  <c r="A8" i="3"/>
  <c r="I7" i="3"/>
  <c r="H7" i="3"/>
  <c r="G7" i="3"/>
  <c r="F7" i="3"/>
  <c r="J7" i="3" s="1"/>
  <c r="E8" i="4" s="1"/>
  <c r="A7" i="3"/>
  <c r="I6" i="3"/>
  <c r="H6" i="3"/>
  <c r="G6" i="3"/>
  <c r="F6" i="3"/>
  <c r="A6" i="3"/>
  <c r="I5" i="3"/>
  <c r="H5" i="3"/>
  <c r="H15" i="3" s="1"/>
  <c r="G5" i="3"/>
  <c r="F5" i="3"/>
  <c r="F15" i="3" s="1"/>
  <c r="A5" i="3"/>
  <c r="F8" i="2"/>
  <c r="F7" i="2"/>
  <c r="F6" i="2"/>
  <c r="F5" i="2"/>
  <c r="G15" i="3" l="1"/>
  <c r="J6" i="3"/>
  <c r="D7" i="4"/>
  <c r="D8" i="4"/>
  <c r="H8" i="4" s="1"/>
  <c r="I15" i="3"/>
  <c r="D10" i="4"/>
  <c r="E7" i="4"/>
  <c r="F7" i="4" s="1"/>
  <c r="H7" i="4"/>
  <c r="G7" i="4"/>
  <c r="F8" i="4"/>
  <c r="G8" i="4"/>
  <c r="F10" i="4"/>
  <c r="F9" i="4"/>
  <c r="G10" i="4"/>
  <c r="H10" i="4"/>
  <c r="D6" i="4"/>
  <c r="G9" i="4"/>
  <c r="J5" i="3"/>
  <c r="B11" i="4"/>
  <c r="E6" i="4" l="1"/>
  <c r="J15" i="3"/>
  <c r="G6" i="4"/>
  <c r="H6" i="4"/>
  <c r="E11" i="4" l="1"/>
  <c r="F6" i="4"/>
</calcChain>
</file>

<file path=xl/sharedStrings.xml><?xml version="1.0" encoding="utf-8"?>
<sst xmlns="http://schemas.openxmlformats.org/spreadsheetml/2006/main" count="266" uniqueCount="221">
  <si>
    <t>💼 SISTEMA DE COMISSÕES ESCALONADAS</t>
  </si>
  <si>
    <t>Portfólio | Excel + VBA | Gestão de Vendas e Comissões</t>
  </si>
  <si>
    <t>📋  SOBRE ESTA PLANILHA</t>
  </si>
  <si>
    <t>Esta planilha automatiza o cálculo de comissões escalonadas para equipes de vendas.</t>
  </si>
  <si>
    <t>As faixas de comissão são totalmente configuráveis na aba ⚙️ Configuração.</t>
  </si>
  <si>
    <t>Ao inserir uma venda na aba 📊 Lançamentos, a comissão é calculada instantaneamente.</t>
  </si>
  <si>
    <t>O Dashboard 🏆 consolida o desempenho de cada vendedor automaticamente.</t>
  </si>
  <si>
    <t>As células com fórmulas estão protegidas. Apenas as células de entrada ficam liberadas.</t>
  </si>
  <si>
    <t>🗺️  NAVEGAÇÃO RÁPIDA</t>
  </si>
  <si>
    <t>⚙️ Configuração</t>
  </si>
  <si>
    <t>📊 Lançamentos</t>
  </si>
  <si>
    <t>🏆 Dashboard</t>
  </si>
  <si>
    <t>💻 Código VBA</t>
  </si>
  <si>
    <t>✨  FUNCIONALIDADES</t>
  </si>
  <si>
    <t>✅</t>
  </si>
  <si>
    <t>Cálculo automático de comissão escalonada (progressiva por faixa)</t>
  </si>
  <si>
    <t>Faixas configuráveis – altere percentuais sem mexer nas fórmulas</t>
  </si>
  <si>
    <t>Proteção de células – evita apagar fórmulas acidentalmente</t>
  </si>
  <si>
    <t>Dashboard com total de vendas, comissões e % da meta</t>
  </si>
  <si>
    <t>Validação de dados – impede entradas inválidas</t>
  </si>
  <si>
    <t>Formatação condicional – destaca os melhores vendedores</t>
  </si>
  <si>
    <t>Macro VBA – limpa o formulário com um clique</t>
  </si>
  <si>
    <t>Código VBA documentado e pronto para importar</t>
  </si>
  <si>
    <t>⚙️ CONFIGURAÇÃO DE FAIXAS DE COMISSÃO</t>
  </si>
  <si>
    <t>Faixa</t>
  </si>
  <si>
    <t>Descrição</t>
  </si>
  <si>
    <t>Valor Mínimo (R$)</t>
  </si>
  <si>
    <t>Valor Máximo (R$)</t>
  </si>
  <si>
    <t>% Comissão</t>
  </si>
  <si>
    <t>Comissão sobre excedente</t>
  </si>
  <si>
    <t>Básico</t>
  </si>
  <si>
    <t>Intermediário</t>
  </si>
  <si>
    <t>Avançado</t>
  </si>
  <si>
    <t>Elite</t>
  </si>
  <si>
    <t>Ilimitado</t>
  </si>
  <si>
    <t>🎯  METAS MENSAIS POR VENDEDOR</t>
  </si>
  <si>
    <t>Vendedor</t>
  </si>
  <si>
    <t>Meta de Vendas (R$)</t>
  </si>
  <si>
    <t>Bônus por Atingir Meta (R$)</t>
  </si>
  <si>
    <t>% Bônus sobre Excesso</t>
  </si>
  <si>
    <t>Ana Silva</t>
  </si>
  <si>
    <t>Bruno Costa</t>
  </si>
  <si>
    <t>Carla Lima</t>
  </si>
  <si>
    <t>Diego Souza</t>
  </si>
  <si>
    <t>Elisa Ferraz</t>
  </si>
  <si>
    <t>ℹ️  COMO ATUALIZAR AS FAIXAS:
1) Altere os valores em AZUL diretamente nas células acima.
2) As fórmulas na aba Lançamentos se atualizam automaticamente.
3) NÃO altere células em PRETO (são fórmulas automáticas).</t>
  </si>
  <si>
    <t>📊 REGISTRO DE VENDAS</t>
  </si>
  <si>
    <t>Preencha as colunas em AZUL. A comissão é calculada automaticamente pelas fórmulas.</t>
  </si>
  <si>
    <t>#</t>
  </si>
  <si>
    <t>Data</t>
  </si>
  <si>
    <t>Produto / Serviço</t>
  </si>
  <si>
    <t>Valor da Venda (R$)</t>
  </si>
  <si>
    <t>Comissão Faixa 1 (R$)</t>
  </si>
  <si>
    <t>Comissão Faixa 2 (R$)</t>
  </si>
  <si>
    <t>Comissão Faixa 3 (R$)</t>
  </si>
  <si>
    <t>Comissão Faixa 4 (R$)</t>
  </si>
  <si>
    <t>💰 TOTAL COMISSÃO (R$)</t>
  </si>
  <si>
    <t>Consultoria ERP</t>
  </si>
  <si>
    <t>Licença Software</t>
  </si>
  <si>
    <t>Treinamento</t>
  </si>
  <si>
    <t>Suporte Premium</t>
  </si>
  <si>
    <t>Implantação Sistema</t>
  </si>
  <si>
    <t>Customização</t>
  </si>
  <si>
    <t>Consultoria</t>
  </si>
  <si>
    <t>Licença Anual</t>
  </si>
  <si>
    <t>Treinamento Equipe</t>
  </si>
  <si>
    <t>Projeto Especial</t>
  </si>
  <si>
    <t>TOTAIS</t>
  </si>
  <si>
    <t>🏆 DASHBOARD DE DESEMPENHO</t>
  </si>
  <si>
    <t>📈  DESEMPENHO INDIVIDUAL DOS VENDEDORES</t>
  </si>
  <si>
    <t>Total Vendas (R$)</t>
  </si>
  <si>
    <t>Meta (R$)</t>
  </si>
  <si>
    <t>% da Meta</t>
  </si>
  <si>
    <t>Total Comissão (R$)</t>
  </si>
  <si>
    <t>Comissão Média (%)</t>
  </si>
  <si>
    <t>Status</t>
  </si>
  <si>
    <t>Observação</t>
  </si>
  <si>
    <t>TOTAL GERAL</t>
  </si>
  <si>
    <t>💻 CÓDIGO VBA – MACROS DA PLANILHA</t>
  </si>
  <si>
    <t>Como importar: Abra o Excel → Alt+F11 → Inserir → Módulo → Cole o código abaixo</t>
  </si>
  <si>
    <t>' ============================================================</t>
  </si>
  <si>
    <t>'  MÓDULO: ModuloComissoes</t>
  </si>
  <si>
    <t>'  SISTEMA DE COMISSÕES ESCALONADAS</t>
  </si>
  <si>
    <t>'  Autor: [Seu Nome] | Data: Abril/2025</t>
  </si>
  <si>
    <t>Option Explicit</t>
  </si>
  <si>
    <t>' ─────────────────────────────────────────────────────────────</t>
  </si>
  <si>
    <t>'  Sub: LimparFormulario</t>
  </si>
  <si>
    <t>'  Descrição: Limpa os campos de entrada da aba Lançamentos</t>
  </si>
  <si>
    <t>'             mantendo os cabeçalhos e fórmulas intactos.</t>
  </si>
  <si>
    <t>'  Uso: Botão "Limpar" na aba Lançamentos</t>
  </si>
  <si>
    <t>Sub LimparFormulario()</t>
  </si>
  <si>
    <t xml:space="preserve">    Dim ws As Worksheet</t>
  </si>
  <si>
    <t xml:space="preserve">    Dim ultimaLinha As Long</t>
  </si>
  <si>
    <t xml:space="preserve">    Dim resposta As VbMsgBoxResult</t>
  </si>
  <si>
    <t xml:space="preserve">    Set ws = ThisWorkbook.Sheets("📊 Lançamentos")</t>
  </si>
  <si>
    <t xml:space="preserve">    ' Confirmar com o usuário antes de apagar</t>
  </si>
  <si>
    <t xml:space="preserve">    resposta = MsgBox("Deseja realmente limpar TODOS os registros de venda?" &amp; _</t>
  </si>
  <si>
    <t xml:space="preserve">                      vbNewLine &amp; "Esta ação não pode ser desfeita.", _</t>
  </si>
  <si>
    <t xml:space="preserve">                      vbYesNo + vbQuestion, "Confirmar Limpeza")</t>
  </si>
  <si>
    <t xml:space="preserve">    If resposta = vbNo Then Exit Sub</t>
  </si>
  <si>
    <t xml:space="preserve">    ' Encontrar última linha com dados</t>
  </si>
  <si>
    <t xml:space="preserve">    ultimaLinha = ws.Cells(ws.Rows.Count, "B").End(xlUp).Row</t>
  </si>
  <si>
    <t xml:space="preserve">    If ultimaLinha &lt; 5 Then</t>
  </si>
  <si>
    <t xml:space="preserve">        MsgBox "Nenhum dado para limpar.", vbInformation, "Aviso"</t>
  </si>
  <si>
    <t xml:space="preserve">        Exit Sub</t>
  </si>
  <si>
    <t xml:space="preserve">    End If</t>
  </si>
  <si>
    <t xml:space="preserve">    ' Limpar apenas as colunas de entrada (B, C, D, E)</t>
  </si>
  <si>
    <t xml:space="preserve">    ' As colunas F, G, H, I, J têm fórmulas (protegidas)</t>
  </si>
  <si>
    <t xml:space="preserve">    ws.Range("B5:E" &amp; ultimaLinha).ClearContents</t>
  </si>
  <si>
    <t xml:space="preserve">    MsgBox "Formulário limpo com sucesso! ✅", vbInformation, "Concluído"</t>
  </si>
  <si>
    <t>End Sub</t>
  </si>
  <si>
    <t>'  Sub: CalcularComissaoUnica</t>
  </si>
  <si>
    <t>'  Descrição: Calcula a comissão escalonada para um valor</t>
  </si>
  <si>
    <t>'             informado pelo usuário via InputBox</t>
  </si>
  <si>
    <t>'  Uso: Pode ser chamada isoladamente para simulação</t>
  </si>
  <si>
    <t>Sub CalcularComissaoUnica()</t>
  </si>
  <si>
    <t xml:space="preserve">    Dim wsConfig As Worksheet</t>
  </si>
  <si>
    <t xml:space="preserve">    Dim valorVenda As Double</t>
  </si>
  <si>
    <t xml:space="preserve">    Dim comissaoTotal As Double</t>
  </si>
  <si>
    <t xml:space="preserve">    Dim entrada As String</t>
  </si>
  <si>
    <t xml:space="preserve">    Set wsConfig = ThisWorkbook.Sheets("⚙️ Configuração")</t>
  </si>
  <si>
    <t xml:space="preserve">    ' Solicitar valor ao usuário</t>
  </si>
  <si>
    <t xml:space="preserve">    entrada = InputBox("Digite o valor da venda para simulação:", _</t>
  </si>
  <si>
    <t xml:space="preserve">                       "Simulador de Comissão", "0")</t>
  </si>
  <si>
    <t xml:space="preserve">    If entrada = "" Then Exit Sub</t>
  </si>
  <si>
    <t xml:space="preserve">    On Error GoTo EntradaInvalida</t>
  </si>
  <si>
    <t xml:space="preserve">    valorVenda = CDbl(entrada)</t>
  </si>
  <si>
    <t xml:space="preserve">    On Error GoTo 0</t>
  </si>
  <si>
    <t xml:space="preserve">    If valorVenda &lt;= 0 Then</t>
  </si>
  <si>
    <t xml:space="preserve">        MsgBox "Por favor, informe um valor maior que zero.", _</t>
  </si>
  <si>
    <t xml:space="preserve">               vbExclamation, "Valor Inválido"</t>
  </si>
  <si>
    <t xml:space="preserve">    ' Ler faixas da aba Configuração</t>
  </si>
  <si>
    <t xml:space="preserve">    Dim limite1 As Double, limite2 As Double, limite3 As Double</t>
  </si>
  <si>
    <t xml:space="preserve">    Dim pct1 As Double, pct2 As Double, pct3 As Double, pct4 As Double</t>
  </si>
  <si>
    <t xml:space="preserve">    limite1 = wsConfig.Range("C5").Value  ' R$ 5.000</t>
  </si>
  <si>
    <t xml:space="preserve">    limite2 = wsConfig.Range("C6").Value  ' R$ 10.000</t>
  </si>
  <si>
    <t xml:space="preserve">    limite3 = wsConfig.Range("C7").Value  ' R$ 20.000</t>
  </si>
  <si>
    <t xml:space="preserve">    pct1 = wsConfig.Range("E5").Value     ' 3%</t>
  </si>
  <si>
    <t xml:space="preserve">    pct2 = wsConfig.Range("E6").Value     ' 5%</t>
  </si>
  <si>
    <t xml:space="preserve">    pct3 = wsConfig.Range("E7").Value     ' 8%</t>
  </si>
  <si>
    <t xml:space="preserve">    pct4 = wsConfig.Range("E8").Value     ' 10%</t>
  </si>
  <si>
    <t xml:space="preserve">    ' ── Cálculo progressivo por faixas ─────────────────────</t>
  </si>
  <si>
    <t xml:space="preserve">    Dim f1 As Double, f2 As Double, f3 As Double, f4 As Double</t>
  </si>
  <si>
    <t xml:space="preserve">    ' Faixa 1: 0 até limite1</t>
  </si>
  <si>
    <t xml:space="preserve">    f1 = Application.WorksheetFunction.Min(valorVenda, limite1) * pct1</t>
  </si>
  <si>
    <t xml:space="preserve">    ' Faixa 2: limite1+1 até limite2</t>
  </si>
  <si>
    <t xml:space="preserve">    f2 = Application.WorksheetFunction.Max(0, _</t>
  </si>
  <si>
    <t xml:space="preserve">         Application.WorksheetFunction.Min(valorVenda, limite2) - limite1) * pct2</t>
  </si>
  <si>
    <t xml:space="preserve">    ' Faixa 3: limite2+1 até limite3</t>
  </si>
  <si>
    <t xml:space="preserve">    f3 = Application.WorksheetFunction.Max(0, _</t>
  </si>
  <si>
    <t xml:space="preserve">         Application.WorksheetFunction.Min(valorVenda, limite3) - limite2) * pct3</t>
  </si>
  <si>
    <t xml:space="preserve">    ' Faixa 4: acima de limite3</t>
  </si>
  <si>
    <t xml:space="preserve">    f4 = Application.WorksheetFunction.Max(0, valorVenda - limite3) * pct4</t>
  </si>
  <si>
    <t xml:space="preserve">    comissaoTotal = f1 + f2 + f3 + f4</t>
  </si>
  <si>
    <t xml:space="preserve">    ' Exibir resultado detalhado</t>
  </si>
  <si>
    <t xml:space="preserve">    Dim msg As String</t>
  </si>
  <si>
    <t xml:space="preserve">    msg = "═══════════════════════════════" &amp; vbNewLine &amp; _</t>
  </si>
  <si>
    <t xml:space="preserve">          "  RESULTADO DA SIMULAÇÃO" &amp; vbNewLine &amp; _</t>
  </si>
  <si>
    <t xml:space="preserve">          "═══════════════════════════════" &amp; vbNewLine &amp; vbNewLine &amp; _</t>
  </si>
  <si>
    <t xml:space="preserve">          "Valor da Venda: " &amp; Format(valorVenda, "R$ #,##0.00") &amp; vbNewLine &amp; vbNewLine &amp; _</t>
  </si>
  <si>
    <t xml:space="preserve">          "─── Detalhamento por Faixa ───" &amp; vbNewLine &amp; _</t>
  </si>
  <si>
    <t xml:space="preserve">          "Faixa 1 (" &amp; Format(pct1, "0%") &amp; "): " &amp; Format(f1, "R$ #,##0.00") &amp; vbNewLine &amp; _</t>
  </si>
  <si>
    <t xml:space="preserve">          "Faixa 2 (" &amp; Format(pct2, "0%") &amp; "): " &amp; Format(f2, "R$ #,##0.00") &amp; vbNewLine &amp; _</t>
  </si>
  <si>
    <t xml:space="preserve">          "Faixa 3 (" &amp; Format(pct3, "0%") &amp; "): " &amp; Format(f3, "R$ #,##0.00") &amp; vbNewLine &amp; _</t>
  </si>
  <si>
    <t xml:space="preserve">          "Faixa 4 (" &amp; Format(pct4, "0%") &amp; "): " &amp; Format(f4, "R$ #,##0.00") &amp; vbNewLine &amp; vbNewLine &amp; _</t>
  </si>
  <si>
    <t xml:space="preserve">          "────────────────────────────" &amp; vbNewLine &amp; _</t>
  </si>
  <si>
    <t xml:space="preserve">          "TOTAL COMISSÃO: " &amp; Format(comissaoTotal, "R$ #,##0.00") &amp; vbNewLine &amp; _</t>
  </si>
  <si>
    <t xml:space="preserve">          "Comissão Efetiva: " &amp; Format(comissaoTotal / valorVenda, "0.00%")</t>
  </si>
  <si>
    <t xml:space="preserve">    MsgBox msg, vbInformation, "Simulador de Comissão Escalonada"</t>
  </si>
  <si>
    <t xml:space="preserve">    Exit Sub</t>
  </si>
  <si>
    <t>EntradaInvalida:</t>
  </si>
  <si>
    <t xml:space="preserve">    MsgBox "Valor inválido. Use apenas números.", vbExclamation, "Erro"</t>
  </si>
  <si>
    <t>'  Sub: ExportarDashboard</t>
  </si>
  <si>
    <t>'  Descrição: Exporta o Dashboard para um novo arquivo Excel</t>
  </si>
  <si>
    <t>'             com a data atual no nome do arquivo</t>
  </si>
  <si>
    <t>Sub ExportarDashboard()</t>
  </si>
  <si>
    <t xml:space="preserve">    Dim wsDash As Worksheet</t>
  </si>
  <si>
    <t xml:space="preserve">    Dim novoArquivo As Workbook</t>
  </si>
  <si>
    <t xml:space="preserve">    Dim nomeArquivo As String</t>
  </si>
  <si>
    <t xml:space="preserve">    Set wsDash = ThisWorkbook.Sheets("🏆 Dashboard")</t>
  </si>
  <si>
    <t xml:space="preserve">    nomeArquivo = "Dashboard_Comissoes_" &amp; Format(Date, "YYYY-MM") &amp; ".xlsx"</t>
  </si>
  <si>
    <t xml:space="preserve">    ' Copiar aba Dashboard para novo workbook</t>
  </si>
  <si>
    <t xml:space="preserve">    wsDash.Copy</t>
  </si>
  <si>
    <t xml:space="preserve">    Set novoArquivo = ActiveWorkbook</t>
  </si>
  <si>
    <t xml:space="preserve">    ' Salvar na mesma pasta do arquivo original</t>
  </si>
  <si>
    <t xml:space="preserve">    Dim caminho As String</t>
  </si>
  <si>
    <t xml:space="preserve">    caminho = ThisWorkbook.Path &amp; Application.PathSeparator &amp; nomeArquivo</t>
  </si>
  <si>
    <t xml:space="preserve">    novoArquivo.SaveAs Filename:=caminho, FileFormat:=xlOpenXMLWorkbook</t>
  </si>
  <si>
    <t xml:space="preserve">    novoArquivo.Close</t>
  </si>
  <si>
    <t xml:space="preserve">    MsgBox "Dashboard exportado com sucesso!" &amp; vbNewLine &amp; _</t>
  </si>
  <si>
    <t xml:space="preserve">           "Arquivo: " &amp; nomeArquivo, vbInformation, "Exportação Concluída"</t>
  </si>
  <si>
    <t>'  Sub: ProtegerPlanilhas</t>
  </si>
  <si>
    <t>'  Descrição: Aplica proteção nas planilhas para evitar</t>
  </si>
  <si>
    <t>'             edição acidental das fórmulas</t>
  </si>
  <si>
    <t>Sub ProtegerPlanilhas()</t>
  </si>
  <si>
    <t xml:space="preserve">    Dim senha As String</t>
  </si>
  <si>
    <t xml:space="preserve">    senha = "comissoes2025"</t>
  </si>
  <si>
    <t xml:space="preserve">    ' Proteger Lançamentos (liberar apenas B:E)</t>
  </si>
  <si>
    <t xml:space="preserve">    With ThisWorkbook.Sheets("📊 Lançamentos")</t>
  </si>
  <si>
    <t xml:space="preserve">        .Unprotect Password:=senha</t>
  </si>
  <si>
    <t xml:space="preserve">        .Cells.Locked = True</t>
  </si>
  <si>
    <t xml:space="preserve">        .Range("B5:E100").Locked = False  ' Células de entrada liberadas</t>
  </si>
  <si>
    <t xml:space="preserve">        .Protect Password:=senha, DrawingObjects:=True, Contents:=True, _</t>
  </si>
  <si>
    <t xml:space="preserve">                 AllowInsertingRows:=True, AllowDeletingRows:=True</t>
  </si>
  <si>
    <t xml:space="preserve">    End With</t>
  </si>
  <si>
    <t xml:space="preserve">    ' Proteger Configuração (liberar apenas valores editáveis)</t>
  </si>
  <si>
    <t xml:space="preserve">    With ThisWorkbook.Sheets("⚙️ Configuração")</t>
  </si>
  <si>
    <t xml:space="preserve">        .Range("B5:E8").Locked = False    ' Faixas e percentuais</t>
  </si>
  <si>
    <t xml:space="preserve">        .Range("A12:D16").Locked = False  ' Dados de vendedores e metas</t>
  </si>
  <si>
    <t xml:space="preserve">        .Protect Password:=senha, DrawingObjects:=True, Contents:=True</t>
  </si>
  <si>
    <t xml:space="preserve">    MsgBox "Planilhas protegidas! ✅" &amp; vbNewLine &amp; _</t>
  </si>
  <si>
    <t xml:space="preserve">           "Senha: " &amp; senha, vbInformation, "Proteção Aplicada"</t>
  </si>
  <si>
    <t>'  Sub: DesprotegerPlanilhas</t>
  </si>
  <si>
    <t>'  Descrição: Remove a proteção para edição das fórmulas</t>
  </si>
  <si>
    <t>Sub DesprotegerPlanilhas()</t>
  </si>
  <si>
    <t xml:space="preserve">    senha = InputBox("Digite a senha para desproteger:", "Senha", "")</t>
  </si>
  <si>
    <t xml:space="preserve">    If senha = "" Then Exit Sub</t>
  </si>
  <si>
    <t xml:space="preserve">    On Error Resume Next</t>
  </si>
  <si>
    <t xml:space="preserve">    ThisWorkbook.Sheets("📊 Lançamentos").Unprotect Password:=senha</t>
  </si>
  <si>
    <t xml:space="preserve">    ThisWorkbook.Sheets("⚙️ Configuração").Unprotect Password:=senha</t>
  </si>
  <si>
    <t xml:space="preserve">    MsgBox "Planilhas desprotegidas com sucesso!", vbInformation, "Concluído"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</si>
</sst>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0.0%"/>
  </numFmts>
  <fonts count="24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2"/>
      <color rgb="FF1F3864"/>
      <name val="Arial"/>
      <charset val="1"/>
    </font>
    <font>
      <b/>
      <sz val="12"/>
      <color rgb="FFFFFFFF"/>
      <name val="Arial"/>
      <charset val="1"/>
    </font>
    <font>
      <sz val="10"/>
      <color rgb="FF000000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0000FF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sz val="10"/>
      <color rgb="FF1F3864"/>
      <name val="Arial"/>
      <charset val="1"/>
    </font>
    <font>
      <i/>
      <sz val="10"/>
      <color rgb="FF1F3864"/>
      <name val="Arial"/>
      <charset val="1"/>
    </font>
    <font>
      <b/>
      <sz val="10"/>
      <color rgb="FF000000"/>
      <name val="Arial"/>
      <charset val="1"/>
    </font>
    <font>
      <sz val="10"/>
      <color rgb="FF595959"/>
      <name val="Arial"/>
      <charset val="1"/>
    </font>
    <font>
      <b/>
      <sz val="10"/>
      <color rgb="FF1E5631"/>
      <name val="Arial"/>
      <charset val="1"/>
    </font>
    <font>
      <b/>
      <sz val="16"/>
      <color rgb="FFFFFFFF"/>
      <name val="Arial"/>
      <charset val="1"/>
    </font>
    <font>
      <i/>
      <sz val="10"/>
      <color rgb="FFBF1722"/>
      <name val="Arial"/>
      <charset val="1"/>
    </font>
    <font>
      <i/>
      <sz val="9"/>
      <color rgb="FF267F26"/>
      <name val="Courier New"/>
      <charset val="1"/>
    </font>
    <font>
      <sz val="9"/>
      <color rgb="FF000000"/>
      <name val="Courier New"/>
      <charset val="1"/>
    </font>
    <font>
      <b/>
      <sz val="9"/>
      <color rgb="FF595959"/>
      <name val="Courier New"/>
      <charset val="1"/>
    </font>
    <font>
      <b/>
      <sz val="9"/>
      <color rgb="FF0000CC"/>
      <name val="Courier New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D9D9D9"/>
      </patternFill>
    </fill>
    <fill>
      <patternFill patternType="solid">
        <fgColor rgb="FF2E5FA3"/>
        <bgColor rgb="FF3366FF"/>
      </patternFill>
    </fill>
    <fill>
      <patternFill patternType="solid">
        <fgColor rgb="FFFFFFFF"/>
        <bgColor rgb="FFF0FFF0"/>
      </patternFill>
    </fill>
    <fill>
      <patternFill patternType="solid">
        <fgColor rgb="FFF2F2F2"/>
        <bgColor rgb="FFEEF0FF"/>
      </patternFill>
    </fill>
    <fill>
      <patternFill patternType="solid">
        <fgColor rgb="FF1E5631"/>
        <bgColor rgb="FF276221"/>
      </patternFill>
    </fill>
    <fill>
      <patternFill patternType="solid">
        <fgColor rgb="FF7F3F98"/>
        <bgColor rgb="FF595959"/>
      </patternFill>
    </fill>
    <fill>
      <patternFill patternType="solid">
        <fgColor rgb="FFBF1722"/>
        <bgColor rgb="FF9C0006"/>
      </patternFill>
    </fill>
    <fill>
      <patternFill patternType="solid">
        <fgColor rgb="FFFFD966"/>
        <bgColor rgb="FFFFEB9C"/>
      </patternFill>
    </fill>
    <fill>
      <patternFill patternType="solid">
        <fgColor rgb="FF375623"/>
        <bgColor rgb="FF276221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0FFF0"/>
        <bgColor rgb="FFFFFFFF"/>
      </patternFill>
    </fill>
    <fill>
      <patternFill patternType="solid">
        <fgColor rgb="FFD9D9D9"/>
        <bgColor rgb="FFBDD7EE"/>
      </patternFill>
    </fill>
    <fill>
      <patternFill patternType="solid">
        <fgColor rgb="FFEEF0FF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7" fillId="9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13" fillId="3" borderId="4" xfId="0" applyFont="1" applyFill="1" applyBorder="1" applyAlignment="1">
      <alignment horizontal="left" vertical="top" wrapText="1" indent="1"/>
    </xf>
    <xf numFmtId="0" fontId="7" fillId="2" borderId="0" xfId="0" applyFont="1" applyFill="1" applyAlignment="1">
      <alignment horizontal="center" vertical="center" wrapText="1"/>
    </xf>
    <xf numFmtId="0" fontId="4" fillId="6" borderId="1" xfId="0" applyFont="1" applyFill="1" applyBorder="1"/>
    <xf numFmtId="0" fontId="4" fillId="5" borderId="1" xfId="0" applyFont="1" applyFill="1" applyBorder="1"/>
    <xf numFmtId="0" fontId="3" fillId="7" borderId="0" xfId="0" applyFont="1" applyFill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indent="2"/>
    </xf>
    <xf numFmtId="0" fontId="4" fillId="5" borderId="1" xfId="0" applyFont="1" applyFill="1" applyBorder="1" applyAlignment="1">
      <alignment horizontal="left" vertical="center" indent="2"/>
    </xf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 indent="1"/>
    </xf>
    <xf numFmtId="164" fontId="11" fillId="5" borderId="3" xfId="0" applyNumberFormat="1" applyFont="1" applyFill="1" applyBorder="1" applyAlignment="1">
      <alignment horizontal="right" vertical="center"/>
    </xf>
    <xf numFmtId="165" fontId="10" fillId="10" borderId="3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 indent="1"/>
    </xf>
    <xf numFmtId="0" fontId="9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 indent="1"/>
    </xf>
    <xf numFmtId="164" fontId="11" fillId="6" borderId="3" xfId="0" applyNumberFormat="1" applyFont="1" applyFill="1" applyBorder="1" applyAlignment="1">
      <alignment horizontal="right" vertical="center"/>
    </xf>
    <xf numFmtId="0" fontId="12" fillId="6" borderId="3" xfId="0" applyFont="1" applyFill="1" applyBorder="1" applyAlignment="1">
      <alignment horizontal="left" vertical="center" indent="1"/>
    </xf>
    <xf numFmtId="0" fontId="11" fillId="6" borderId="3" xfId="0" applyFont="1" applyFill="1" applyBorder="1" applyAlignment="1">
      <alignment horizontal="right" vertical="center"/>
    </xf>
    <xf numFmtId="0" fontId="8" fillId="11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left" vertical="center" indent="1"/>
    </xf>
    <xf numFmtId="165" fontId="11" fillId="6" borderId="3" xfId="0" applyNumberFormat="1" applyFont="1" applyFill="1" applyBorder="1" applyAlignment="1">
      <alignment horizontal="right" vertical="center"/>
    </xf>
    <xf numFmtId="0" fontId="11" fillId="5" borderId="3" xfId="0" applyFont="1" applyFill="1" applyBorder="1" applyAlignment="1">
      <alignment horizontal="left" vertical="center" indent="1"/>
    </xf>
    <xf numFmtId="165" fontId="11" fillId="5" borderId="3" xfId="0" applyNumberFormat="1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/>
    </xf>
    <xf numFmtId="14" fontId="11" fillId="5" borderId="3" xfId="0" applyNumberFormat="1" applyFont="1" applyFill="1" applyBorder="1" applyAlignment="1">
      <alignment horizontal="center" vertical="center"/>
    </xf>
    <xf numFmtId="164" fontId="10" fillId="5" borderId="3" xfId="0" applyNumberFormat="1" applyFont="1" applyFill="1" applyBorder="1" applyAlignment="1">
      <alignment horizontal="right" vertical="center"/>
    </xf>
    <xf numFmtId="164" fontId="4" fillId="5" borderId="3" xfId="0" applyNumberFormat="1" applyFont="1" applyFill="1" applyBorder="1" applyAlignment="1">
      <alignment horizontal="right" vertical="center"/>
    </xf>
    <xf numFmtId="164" fontId="17" fillId="12" borderId="3" xfId="0" applyNumberFormat="1" applyFont="1" applyFill="1" applyBorder="1" applyAlignment="1">
      <alignment horizontal="right" vertical="center"/>
    </xf>
    <xf numFmtId="0" fontId="16" fillId="6" borderId="3" xfId="0" applyFont="1" applyFill="1" applyBorder="1" applyAlignment="1">
      <alignment horizontal="center" vertical="center"/>
    </xf>
    <xf numFmtId="14" fontId="11" fillId="6" borderId="3" xfId="0" applyNumberFormat="1" applyFont="1" applyFill="1" applyBorder="1" applyAlignment="1">
      <alignment horizontal="center" vertical="center"/>
    </xf>
    <xf numFmtId="164" fontId="10" fillId="6" borderId="3" xfId="0" applyNumberFormat="1" applyFont="1" applyFill="1" applyBorder="1" applyAlignment="1">
      <alignment horizontal="right" vertical="center"/>
    </xf>
    <xf numFmtId="164" fontId="4" fillId="6" borderId="3" xfId="0" applyNumberFormat="1" applyFont="1" applyFill="1" applyBorder="1" applyAlignment="1">
      <alignment horizontal="right" vertical="center"/>
    </xf>
    <xf numFmtId="164" fontId="8" fillId="4" borderId="3" xfId="0" applyNumberFormat="1" applyFont="1" applyFill="1" applyBorder="1" applyAlignment="1">
      <alignment horizontal="right" vertical="center"/>
    </xf>
    <xf numFmtId="0" fontId="8" fillId="7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left" vertical="center" indent="1"/>
    </xf>
    <xf numFmtId="165" fontId="15" fillId="6" borderId="3" xfId="0" applyNumberFormat="1" applyFont="1" applyFill="1" applyBorder="1" applyAlignment="1">
      <alignment horizontal="center" vertical="center"/>
    </xf>
    <xf numFmtId="10" fontId="4" fillId="6" borderId="3" xfId="0" applyNumberFormat="1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 wrapText="1" indent="1"/>
    </xf>
    <xf numFmtId="0" fontId="9" fillId="5" borderId="3" xfId="0" applyFont="1" applyFill="1" applyBorder="1" applyAlignment="1">
      <alignment horizontal="left" vertical="center" indent="1"/>
    </xf>
    <xf numFmtId="165" fontId="15" fillId="5" borderId="3" xfId="0" applyNumberFormat="1" applyFont="1" applyFill="1" applyBorder="1" applyAlignment="1">
      <alignment horizontal="center" vertical="center"/>
    </xf>
    <xf numFmtId="10" fontId="4" fillId="5" borderId="3" xfId="0" applyNumberFormat="1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 wrapText="1" indent="1"/>
    </xf>
    <xf numFmtId="0" fontId="0" fillId="4" borderId="3" xfId="0" applyFill="1" applyBorder="1"/>
    <xf numFmtId="0" fontId="20" fillId="14" borderId="0" xfId="0" applyFont="1" applyFill="1" applyAlignment="1">
      <alignment horizontal="left" vertical="center"/>
    </xf>
    <xf numFmtId="0" fontId="21" fillId="5" borderId="0" xfId="0" applyFont="1" applyFill="1" applyAlignment="1">
      <alignment horizontal="left" vertical="center"/>
    </xf>
    <xf numFmtId="0" fontId="22" fillId="15" borderId="0" xfId="0" applyFont="1" applyFill="1" applyAlignment="1">
      <alignment horizontal="left" vertical="center"/>
    </xf>
    <xf numFmtId="0" fontId="23" fillId="16" borderId="0" xfId="0" applyFont="1" applyFill="1" applyAlignment="1">
      <alignment horizontal="left" vertical="center"/>
    </xf>
    <xf numFmtId="0" fontId="19" fillId="1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67F26"/>
      <rgbColor rgb="FF000080"/>
      <rgbColor rgb="FF808000"/>
      <rgbColor rgb="FF800080"/>
      <rgbColor rgb="FF008080"/>
      <rgbColor rgb="FFBFBFBF"/>
      <rgbColor rgb="FF808080"/>
      <rgbColor rgb="FF9999FF"/>
      <rgbColor rgb="FF7F3F98"/>
      <rgbColor rgb="FFF0FFF0"/>
      <rgbColor rgb="FFE2EFDA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EEF0FF"/>
      <rgbColor rgb="FFC6EFCE"/>
      <rgbColor rgb="FFFFEB9C"/>
      <rgbColor rgb="FFD9D9D9"/>
      <rgbColor rgb="FFFCE4D6"/>
      <rgbColor rgb="FFF2F2F2"/>
      <rgbColor rgb="FFFFC7CE"/>
      <rgbColor rgb="FF3366FF"/>
      <rgbColor rgb="FF33CCCC"/>
      <rgbColor rgb="FF99CC00"/>
      <rgbColor rgb="FFFFD966"/>
      <rgbColor rgb="FFFF9900"/>
      <rgbColor rgb="FFFF6600"/>
      <rgbColor rgb="FF595959"/>
      <rgbColor rgb="FF969696"/>
      <rgbColor rgb="FF1F3864"/>
      <rgbColor rgb="FF339966"/>
      <rgbColor rgb="FF276221"/>
      <rgbColor rgb="FF1E5631"/>
      <rgbColor rgb="FF9C5700"/>
      <rgbColor rgb="FFBF1722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H26"/>
  <sheetViews>
    <sheetView showGridLines="0" tabSelected="1" zoomScaleNormal="100" workbookViewId="0">
      <selection sqref="A1:H3"/>
    </sheetView>
  </sheetViews>
  <sheetFormatPr defaultColWidth="8.7109375" defaultRowHeight="15" x14ac:dyDescent="0.25"/>
  <cols>
    <col min="1" max="1" width="5" customWidth="1"/>
    <col min="2" max="2" width="22" customWidth="1"/>
    <col min="3" max="3" width="5" customWidth="1"/>
    <col min="4" max="4" width="22" customWidth="1"/>
    <col min="5" max="5" width="5" customWidth="1"/>
    <col min="6" max="6" width="22" customWidth="1"/>
    <col min="7" max="7" width="5" customWidth="1"/>
    <col min="8" max="8" width="22" customWidth="1"/>
  </cols>
  <sheetData>
    <row r="1" spans="1:8" ht="24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24.75" customHeight="1" x14ac:dyDescent="0.25">
      <c r="A2" s="14"/>
      <c r="B2" s="14"/>
      <c r="C2" s="14"/>
      <c r="D2" s="14"/>
      <c r="E2" s="14"/>
      <c r="F2" s="14"/>
      <c r="G2" s="14"/>
      <c r="H2" s="14"/>
    </row>
    <row r="3" spans="1:8" ht="24.75" customHeight="1" x14ac:dyDescent="0.25">
      <c r="A3" s="14"/>
      <c r="B3" s="14"/>
      <c r="C3" s="14"/>
      <c r="D3" s="14"/>
      <c r="E3" s="14"/>
      <c r="F3" s="14"/>
      <c r="G3" s="14"/>
      <c r="H3" s="14"/>
    </row>
    <row r="4" spans="1:8" ht="21.75" customHeight="1" x14ac:dyDescent="0.25">
      <c r="A4" s="13" t="s">
        <v>1</v>
      </c>
      <c r="B4" s="13"/>
      <c r="C4" s="13"/>
      <c r="D4" s="13"/>
      <c r="E4" s="13"/>
      <c r="F4" s="13"/>
      <c r="G4" s="13"/>
      <c r="H4" s="13"/>
    </row>
    <row r="6" spans="1:8" ht="21.75" customHeight="1" x14ac:dyDescent="0.25">
      <c r="A6" s="12" t="s">
        <v>2</v>
      </c>
      <c r="B6" s="12"/>
      <c r="C6" s="12"/>
      <c r="D6" s="12"/>
      <c r="E6" s="12"/>
      <c r="F6" s="12"/>
      <c r="G6" s="12"/>
      <c r="H6" s="12"/>
    </row>
    <row r="7" spans="1:8" ht="18" customHeight="1" x14ac:dyDescent="0.25">
      <c r="A7" s="11" t="s">
        <v>3</v>
      </c>
      <c r="B7" s="11"/>
      <c r="C7" s="11"/>
      <c r="D7" s="11"/>
      <c r="E7" s="11"/>
      <c r="F7" s="11"/>
      <c r="G7" s="11"/>
      <c r="H7" s="11"/>
    </row>
    <row r="8" spans="1:8" ht="18" customHeight="1" x14ac:dyDescent="0.25">
      <c r="A8" s="10" t="s">
        <v>4</v>
      </c>
      <c r="B8" s="10"/>
      <c r="C8" s="10"/>
      <c r="D8" s="10"/>
      <c r="E8" s="10"/>
      <c r="F8" s="10"/>
      <c r="G8" s="10"/>
      <c r="H8" s="10"/>
    </row>
    <row r="9" spans="1:8" ht="18" customHeight="1" x14ac:dyDescent="0.25">
      <c r="A9" s="11" t="s">
        <v>5</v>
      </c>
      <c r="B9" s="11"/>
      <c r="C9" s="11"/>
      <c r="D9" s="11"/>
      <c r="E9" s="11"/>
      <c r="F9" s="11"/>
      <c r="G9" s="11"/>
      <c r="H9" s="11"/>
    </row>
    <row r="10" spans="1:8" ht="18" customHeight="1" x14ac:dyDescent="0.25">
      <c r="A10" s="10" t="s">
        <v>6</v>
      </c>
      <c r="B10" s="10"/>
      <c r="C10" s="10"/>
      <c r="D10" s="10"/>
      <c r="E10" s="10"/>
      <c r="F10" s="10"/>
      <c r="G10" s="10"/>
      <c r="H10" s="10"/>
    </row>
    <row r="11" spans="1:8" ht="18" customHeight="1" x14ac:dyDescent="0.25">
      <c r="A11" s="11" t="s">
        <v>7</v>
      </c>
      <c r="B11" s="11"/>
      <c r="C11" s="11"/>
      <c r="D11" s="11"/>
      <c r="E11" s="11"/>
      <c r="F11" s="11"/>
      <c r="G11" s="11"/>
      <c r="H11" s="11"/>
    </row>
    <row r="13" spans="1:8" ht="21.75" customHeight="1" x14ac:dyDescent="0.25">
      <c r="A13" s="12" t="s">
        <v>8</v>
      </c>
      <c r="B13" s="12"/>
      <c r="C13" s="12"/>
      <c r="D13" s="12"/>
      <c r="E13" s="12"/>
      <c r="F13" s="12"/>
      <c r="G13" s="12"/>
      <c r="H13" s="12"/>
    </row>
    <row r="15" spans="1:8" ht="27.75" customHeight="1" x14ac:dyDescent="0.25">
      <c r="B15" s="15" t="s">
        <v>9</v>
      </c>
      <c r="D15" s="16" t="s">
        <v>10</v>
      </c>
      <c r="F15" s="17" t="s">
        <v>11</v>
      </c>
      <c r="H15" s="18" t="s">
        <v>12</v>
      </c>
    </row>
    <row r="18" spans="1:8" ht="21.75" customHeight="1" x14ac:dyDescent="0.25">
      <c r="A18" s="9" t="s">
        <v>13</v>
      </c>
      <c r="B18" s="9"/>
      <c r="C18" s="9"/>
      <c r="D18" s="9"/>
      <c r="E18" s="9"/>
      <c r="F18" s="9"/>
      <c r="G18" s="9"/>
      <c r="H18" s="9"/>
    </row>
    <row r="19" spans="1:8" ht="16.5" customHeight="1" x14ac:dyDescent="0.25">
      <c r="A19" s="19" t="s">
        <v>14</v>
      </c>
      <c r="B19" s="8" t="s">
        <v>15</v>
      </c>
      <c r="C19" s="8"/>
      <c r="D19" s="8"/>
      <c r="E19" s="8"/>
      <c r="F19" s="8"/>
      <c r="G19" s="8"/>
      <c r="H19" s="8"/>
    </row>
    <row r="20" spans="1:8" ht="16.5" customHeight="1" x14ac:dyDescent="0.25">
      <c r="A20" s="20" t="s">
        <v>14</v>
      </c>
      <c r="B20" s="7" t="s">
        <v>16</v>
      </c>
      <c r="C20" s="7"/>
      <c r="D20" s="7"/>
      <c r="E20" s="7"/>
      <c r="F20" s="7"/>
      <c r="G20" s="7"/>
      <c r="H20" s="7"/>
    </row>
    <row r="21" spans="1:8" ht="16.5" customHeight="1" x14ac:dyDescent="0.25">
      <c r="A21" s="19" t="s">
        <v>14</v>
      </c>
      <c r="B21" s="8" t="s">
        <v>17</v>
      </c>
      <c r="C21" s="8"/>
      <c r="D21" s="8"/>
      <c r="E21" s="8"/>
      <c r="F21" s="8"/>
      <c r="G21" s="8"/>
      <c r="H21" s="8"/>
    </row>
    <row r="22" spans="1:8" ht="16.5" customHeight="1" x14ac:dyDescent="0.25">
      <c r="A22" s="20" t="s">
        <v>14</v>
      </c>
      <c r="B22" s="7" t="s">
        <v>18</v>
      </c>
      <c r="C22" s="7"/>
      <c r="D22" s="7"/>
      <c r="E22" s="7"/>
      <c r="F22" s="7"/>
      <c r="G22" s="7"/>
      <c r="H22" s="7"/>
    </row>
    <row r="23" spans="1:8" ht="16.5" customHeight="1" x14ac:dyDescent="0.25">
      <c r="A23" s="19" t="s">
        <v>14</v>
      </c>
      <c r="B23" s="8" t="s">
        <v>19</v>
      </c>
      <c r="C23" s="8"/>
      <c r="D23" s="8"/>
      <c r="E23" s="8"/>
      <c r="F23" s="8"/>
      <c r="G23" s="8"/>
      <c r="H23" s="8"/>
    </row>
    <row r="24" spans="1:8" ht="16.5" customHeight="1" x14ac:dyDescent="0.25">
      <c r="A24" s="20" t="s">
        <v>14</v>
      </c>
      <c r="B24" s="7" t="s">
        <v>20</v>
      </c>
      <c r="C24" s="7"/>
      <c r="D24" s="7"/>
      <c r="E24" s="7"/>
      <c r="F24" s="7"/>
      <c r="G24" s="7"/>
      <c r="H24" s="7"/>
    </row>
    <row r="25" spans="1:8" ht="16.5" customHeight="1" x14ac:dyDescent="0.25">
      <c r="A25" s="19" t="s">
        <v>14</v>
      </c>
      <c r="B25" s="8" t="s">
        <v>21</v>
      </c>
      <c r="C25" s="8"/>
      <c r="D25" s="8"/>
      <c r="E25" s="8"/>
      <c r="F25" s="8"/>
      <c r="G25" s="8"/>
      <c r="H25" s="8"/>
    </row>
    <row r="26" spans="1:8" ht="16.5" customHeight="1" x14ac:dyDescent="0.25">
      <c r="A26" s="20" t="s">
        <v>14</v>
      </c>
      <c r="B26" s="7" t="s">
        <v>22</v>
      </c>
      <c r="C26" s="7"/>
      <c r="D26" s="7"/>
      <c r="E26" s="7"/>
      <c r="F26" s="7"/>
      <c r="G26" s="7"/>
      <c r="H26" s="7"/>
    </row>
  </sheetData>
  <mergeCells count="18">
    <mergeCell ref="B24:H24"/>
    <mergeCell ref="B25:H25"/>
    <mergeCell ref="B26:H26"/>
    <mergeCell ref="B19:H19"/>
    <mergeCell ref="B20:H20"/>
    <mergeCell ref="B21:H21"/>
    <mergeCell ref="B22:H22"/>
    <mergeCell ref="B23:H23"/>
    <mergeCell ref="A9:H9"/>
    <mergeCell ref="A10:H10"/>
    <mergeCell ref="A11:H11"/>
    <mergeCell ref="A13:H13"/>
    <mergeCell ref="A18:H18"/>
    <mergeCell ref="A1:H3"/>
    <mergeCell ref="A4:H4"/>
    <mergeCell ref="A6:H6"/>
    <mergeCell ref="A7:H7"/>
    <mergeCell ref="A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F20"/>
  <sheetViews>
    <sheetView showGridLines="0" zoomScaleNormal="100" workbookViewId="0">
      <selection sqref="A1:F2"/>
    </sheetView>
  </sheetViews>
  <sheetFormatPr defaultColWidth="8.7109375" defaultRowHeight="15" x14ac:dyDescent="0.25"/>
  <cols>
    <col min="1" max="1" width="20" customWidth="1"/>
    <col min="2" max="2" width="22" customWidth="1"/>
    <col min="3" max="4" width="20" customWidth="1"/>
    <col min="5" max="5" width="14" customWidth="1"/>
    <col min="6" max="6" width="32" customWidth="1"/>
  </cols>
  <sheetData>
    <row r="1" spans="1:6" ht="19.5" customHeight="1" x14ac:dyDescent="0.25">
      <c r="A1" s="6" t="s">
        <v>23</v>
      </c>
      <c r="B1" s="6"/>
      <c r="C1" s="6"/>
      <c r="D1" s="6"/>
      <c r="E1" s="6"/>
      <c r="F1" s="6"/>
    </row>
    <row r="2" spans="1:6" ht="19.5" customHeight="1" x14ac:dyDescent="0.25">
      <c r="A2" s="6"/>
      <c r="B2" s="6"/>
      <c r="C2" s="6"/>
      <c r="D2" s="6"/>
      <c r="E2" s="6"/>
      <c r="F2" s="6"/>
    </row>
    <row r="4" spans="1:6" ht="30" customHeight="1" x14ac:dyDescent="0.25">
      <c r="A4" s="21" t="s">
        <v>24</v>
      </c>
      <c r="B4" s="21" t="s">
        <v>25</v>
      </c>
      <c r="C4" s="21" t="s">
        <v>26</v>
      </c>
      <c r="D4" s="21" t="s">
        <v>27</v>
      </c>
      <c r="E4" s="21" t="s">
        <v>28</v>
      </c>
      <c r="F4" s="21" t="s">
        <v>29</v>
      </c>
    </row>
    <row r="5" spans="1:6" ht="19.5" customHeight="1" x14ac:dyDescent="0.25">
      <c r="A5" s="22">
        <v>1</v>
      </c>
      <c r="B5" s="23" t="s">
        <v>30</v>
      </c>
      <c r="C5" s="24">
        <v>0</v>
      </c>
      <c r="D5" s="24">
        <v>5000</v>
      </c>
      <c r="E5" s="25">
        <v>0.03</v>
      </c>
      <c r="F5" s="26" t="str">
        <f>TEXT(E5,"0%")&amp;" sobre o valor desta faixa"</f>
        <v>3% sobre o valor desta faixa</v>
      </c>
    </row>
    <row r="6" spans="1:6" ht="19.5" customHeight="1" x14ac:dyDescent="0.25">
      <c r="A6" s="27">
        <v>2</v>
      </c>
      <c r="B6" s="28" t="s">
        <v>31</v>
      </c>
      <c r="C6" s="29">
        <v>5000</v>
      </c>
      <c r="D6" s="29">
        <v>10000</v>
      </c>
      <c r="E6" s="25">
        <v>0.05</v>
      </c>
      <c r="F6" s="30" t="str">
        <f>TEXT(E6,"0%")&amp;" sobre o valor desta faixa"</f>
        <v>5% sobre o valor desta faixa</v>
      </c>
    </row>
    <row r="7" spans="1:6" ht="19.5" customHeight="1" x14ac:dyDescent="0.25">
      <c r="A7" s="22">
        <v>3</v>
      </c>
      <c r="B7" s="23" t="s">
        <v>32</v>
      </c>
      <c r="C7" s="24">
        <v>10000</v>
      </c>
      <c r="D7" s="24">
        <v>20000</v>
      </c>
      <c r="E7" s="25">
        <v>0.08</v>
      </c>
      <c r="F7" s="26" t="str">
        <f>TEXT(E7,"0%")&amp;" sobre o valor desta faixa"</f>
        <v>8% sobre o valor desta faixa</v>
      </c>
    </row>
    <row r="8" spans="1:6" ht="19.5" customHeight="1" x14ac:dyDescent="0.25">
      <c r="A8" s="27">
        <v>4</v>
      </c>
      <c r="B8" s="28" t="s">
        <v>33</v>
      </c>
      <c r="C8" s="29">
        <v>20000</v>
      </c>
      <c r="D8" s="31" t="s">
        <v>34</v>
      </c>
      <c r="E8" s="25">
        <v>0.1</v>
      </c>
      <c r="F8" s="30" t="str">
        <f>TEXT(E8,"0%")&amp;" sobre o valor desta faixa"</f>
        <v>10% sobre o valor desta faixa</v>
      </c>
    </row>
    <row r="10" spans="1:6" ht="21.75" customHeight="1" x14ac:dyDescent="0.25">
      <c r="A10" s="9" t="s">
        <v>35</v>
      </c>
      <c r="B10" s="9"/>
      <c r="C10" s="9"/>
      <c r="D10" s="9"/>
      <c r="E10" s="9"/>
      <c r="F10" s="9"/>
    </row>
    <row r="11" spans="1:6" ht="27.75" customHeight="1" x14ac:dyDescent="0.25">
      <c r="A11" s="32" t="s">
        <v>36</v>
      </c>
      <c r="B11" s="32" t="s">
        <v>37</v>
      </c>
      <c r="C11" s="32" t="s">
        <v>38</v>
      </c>
      <c r="D11" s="32" t="s">
        <v>39</v>
      </c>
    </row>
    <row r="12" spans="1:6" ht="18" customHeight="1" x14ac:dyDescent="0.25">
      <c r="A12" s="33" t="s">
        <v>40</v>
      </c>
      <c r="B12" s="29">
        <v>15000</v>
      </c>
      <c r="C12" s="29">
        <v>500</v>
      </c>
      <c r="D12" s="34">
        <v>0.02</v>
      </c>
    </row>
    <row r="13" spans="1:6" ht="18" customHeight="1" x14ac:dyDescent="0.25">
      <c r="A13" s="35" t="s">
        <v>41</v>
      </c>
      <c r="B13" s="24">
        <v>12000</v>
      </c>
      <c r="C13" s="24">
        <v>400</v>
      </c>
      <c r="D13" s="36">
        <v>0.02</v>
      </c>
    </row>
    <row r="14" spans="1:6" ht="18" customHeight="1" x14ac:dyDescent="0.25">
      <c r="A14" s="33" t="s">
        <v>42</v>
      </c>
      <c r="B14" s="29">
        <v>18000</v>
      </c>
      <c r="C14" s="29">
        <v>600</v>
      </c>
      <c r="D14" s="34">
        <v>0.02</v>
      </c>
    </row>
    <row r="15" spans="1:6" ht="18" customHeight="1" x14ac:dyDescent="0.25">
      <c r="A15" s="35" t="s">
        <v>43</v>
      </c>
      <c r="B15" s="24">
        <v>10000</v>
      </c>
      <c r="C15" s="24">
        <v>300</v>
      </c>
      <c r="D15" s="36">
        <v>0.02</v>
      </c>
    </row>
    <row r="16" spans="1:6" ht="18" customHeight="1" x14ac:dyDescent="0.25">
      <c r="A16" s="33" t="s">
        <v>44</v>
      </c>
      <c r="B16" s="29">
        <v>20000</v>
      </c>
      <c r="C16" s="29">
        <v>800</v>
      </c>
      <c r="D16" s="34">
        <v>0.02</v>
      </c>
    </row>
    <row r="18" spans="1:6" ht="19.5" customHeight="1" x14ac:dyDescent="0.25">
      <c r="A18" s="5" t="s">
        <v>45</v>
      </c>
      <c r="B18" s="5"/>
      <c r="C18" s="5"/>
      <c r="D18" s="5"/>
      <c r="E18" s="5"/>
      <c r="F18" s="5"/>
    </row>
    <row r="19" spans="1:6" ht="19.5" customHeight="1" x14ac:dyDescent="0.25">
      <c r="A19" s="5"/>
      <c r="B19" s="5"/>
      <c r="C19" s="5"/>
      <c r="D19" s="5"/>
      <c r="E19" s="5"/>
      <c r="F19" s="5"/>
    </row>
    <row r="20" spans="1:6" ht="19.5" customHeight="1" x14ac:dyDescent="0.25">
      <c r="A20" s="5"/>
      <c r="B20" s="5"/>
      <c r="C20" s="5"/>
      <c r="D20" s="5"/>
      <c r="E20" s="5"/>
      <c r="F20" s="5"/>
    </row>
  </sheetData>
  <mergeCells count="3">
    <mergeCell ref="A1:F2"/>
    <mergeCell ref="A10:F10"/>
    <mergeCell ref="A18:F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J15"/>
  <sheetViews>
    <sheetView showGridLines="0" zoomScaleNormal="100" workbookViewId="0">
      <pane ySplit="4" topLeftCell="A5" activePane="bottomLeft" state="frozen"/>
      <selection pane="bottomLeft" activeCell="E19" sqref="E19"/>
    </sheetView>
  </sheetViews>
  <sheetFormatPr defaultColWidth="8.7109375" defaultRowHeight="15" x14ac:dyDescent="0.25"/>
  <cols>
    <col min="1" max="1" width="5" customWidth="1"/>
    <col min="2" max="2" width="14" customWidth="1"/>
    <col min="3" max="3" width="18" customWidth="1"/>
    <col min="4" max="4" width="24" customWidth="1"/>
    <col min="5" max="5" width="20" customWidth="1"/>
    <col min="6" max="9" width="18" customWidth="1"/>
    <col min="10" max="10" width="22" customWidth="1"/>
  </cols>
  <sheetData>
    <row r="1" spans="1:10" ht="19.5" customHeight="1" x14ac:dyDescent="0.25">
      <c r="A1" s="6" t="s">
        <v>46</v>
      </c>
      <c r="B1" s="6"/>
      <c r="C1" s="6"/>
      <c r="D1" s="6"/>
      <c r="E1" s="6"/>
      <c r="F1" s="6"/>
      <c r="G1" s="6"/>
      <c r="H1" s="6"/>
      <c r="I1" s="6"/>
    </row>
    <row r="2" spans="1:10" ht="19.5" customHeight="1" x14ac:dyDescent="0.25">
      <c r="A2" s="6"/>
      <c r="B2" s="6"/>
      <c r="C2" s="6"/>
      <c r="D2" s="6"/>
      <c r="E2" s="6"/>
      <c r="F2" s="6"/>
      <c r="G2" s="6"/>
      <c r="H2" s="6"/>
      <c r="I2" s="6"/>
    </row>
    <row r="3" spans="1:10" ht="18" customHeight="1" x14ac:dyDescent="0.25">
      <c r="A3" s="4" t="s">
        <v>47</v>
      </c>
      <c r="B3" s="4"/>
      <c r="C3" s="4"/>
      <c r="D3" s="4"/>
      <c r="E3" s="4"/>
      <c r="F3" s="4"/>
      <c r="G3" s="4"/>
      <c r="H3" s="4"/>
      <c r="I3" s="4"/>
    </row>
    <row r="4" spans="1:10" ht="39.75" customHeight="1" x14ac:dyDescent="0.25">
      <c r="A4" s="37" t="s">
        <v>48</v>
      </c>
      <c r="B4" s="37" t="s">
        <v>49</v>
      </c>
      <c r="C4" s="37" t="s">
        <v>36</v>
      </c>
      <c r="D4" s="37" t="s">
        <v>50</v>
      </c>
      <c r="E4" s="37" t="s">
        <v>51</v>
      </c>
      <c r="F4" s="37" t="s">
        <v>52</v>
      </c>
      <c r="G4" s="37" t="s">
        <v>53</v>
      </c>
      <c r="H4" s="37" t="s">
        <v>54</v>
      </c>
      <c r="I4" s="37" t="s">
        <v>55</v>
      </c>
      <c r="J4" s="38" t="s">
        <v>56</v>
      </c>
    </row>
    <row r="5" spans="1:10" ht="19.5" customHeight="1" x14ac:dyDescent="0.25">
      <c r="A5" s="39">
        <f t="shared" ref="A5:A14" si="0">ROW()-4</f>
        <v>1</v>
      </c>
      <c r="B5" s="40">
        <v>45748</v>
      </c>
      <c r="C5" s="35" t="s">
        <v>40</v>
      </c>
      <c r="D5" s="35" t="s">
        <v>57</v>
      </c>
      <c r="E5" s="41">
        <v>4500</v>
      </c>
      <c r="F5" s="42">
        <f>IF(E5=0,0,MIN(E5,'⚙️ Configuração'!C5)*'⚙️ Configuração'!E5)</f>
        <v>0</v>
      </c>
      <c r="G5" s="42">
        <f>IF(E5&lt;='⚙️ Configuração'!C5,0,MIN(E5,'⚙️ Configuração'!C6)-'⚙️ Configuração'!C5)*'⚙️ Configuração'!E6</f>
        <v>225</v>
      </c>
      <c r="H5" s="42">
        <f>IF(E5&lt;='⚙️ Configuração'!C6,0,MIN(E5,'⚙️ Configuração'!C7)-'⚙️ Configuração'!C6)*'⚙️ Configuração'!E7</f>
        <v>0</v>
      </c>
      <c r="I5" s="42">
        <f>IF(E5&lt;='⚙️ Configuração'!C7,0,(E5-'⚙️ Configuração'!C7)*'⚙️ Configuração'!E8)</f>
        <v>0</v>
      </c>
      <c r="J5" s="43">
        <f t="shared" ref="J5:J14" si="1">F5+G5+H5+I5</f>
        <v>225</v>
      </c>
    </row>
    <row r="6" spans="1:10" ht="19.5" customHeight="1" x14ac:dyDescent="0.25">
      <c r="A6" s="44">
        <f t="shared" si="0"/>
        <v>2</v>
      </c>
      <c r="B6" s="45">
        <v>45749</v>
      </c>
      <c r="C6" s="33" t="s">
        <v>41</v>
      </c>
      <c r="D6" s="33" t="s">
        <v>58</v>
      </c>
      <c r="E6" s="46">
        <v>7800</v>
      </c>
      <c r="F6" s="47">
        <f>IF(E6=0,0,MIN(E6,'⚙️ Configuração'!C5)*'⚙️ Configuração'!E5)</f>
        <v>0</v>
      </c>
      <c r="G6" s="47">
        <f>IF(E6&lt;='⚙️ Configuração'!C5,0,MIN(E6,'⚙️ Configuração'!C6)-'⚙️ Configuração'!C5)*'⚙️ Configuração'!E6</f>
        <v>250</v>
      </c>
      <c r="H6" s="47">
        <f>IF(E6&lt;='⚙️ Configuração'!C6,0,MIN(E6,'⚙️ Configuração'!C7)-'⚙️ Configuração'!C6)*'⚙️ Configuração'!E7</f>
        <v>224</v>
      </c>
      <c r="I6" s="47">
        <f>IF(E6&lt;='⚙️ Configuração'!C7,0,(E6-'⚙️ Configuração'!C7)*'⚙️ Configuração'!E8)</f>
        <v>0</v>
      </c>
      <c r="J6" s="43">
        <f t="shared" si="1"/>
        <v>474</v>
      </c>
    </row>
    <row r="7" spans="1:10" ht="19.5" customHeight="1" x14ac:dyDescent="0.25">
      <c r="A7" s="39">
        <f t="shared" si="0"/>
        <v>3</v>
      </c>
      <c r="B7" s="40">
        <v>45750</v>
      </c>
      <c r="C7" s="35" t="s">
        <v>42</v>
      </c>
      <c r="D7" s="35" t="s">
        <v>59</v>
      </c>
      <c r="E7" s="41">
        <v>15000</v>
      </c>
      <c r="F7" s="42">
        <f>IF(E7=0,0,MIN(E7,'⚙️ Configuração'!C5)*'⚙️ Configuração'!E5)</f>
        <v>0</v>
      </c>
      <c r="G7" s="42">
        <f>IF(E7&lt;='⚙️ Configuração'!C5,0,MIN(E7,'⚙️ Configuração'!C6)-'⚙️ Configuração'!C5)*'⚙️ Configuração'!E6</f>
        <v>250</v>
      </c>
      <c r="H7" s="42">
        <f>IF(E7&lt;='⚙️ Configuração'!C6,0,MIN(E7,'⚙️ Configuração'!C7)-'⚙️ Configuração'!C6)*'⚙️ Configuração'!E7</f>
        <v>400</v>
      </c>
      <c r="I7" s="42">
        <f>IF(E7&lt;='⚙️ Configuração'!C7,0,(E7-'⚙️ Configuração'!C7)*'⚙️ Configuração'!E8)</f>
        <v>500</v>
      </c>
      <c r="J7" s="43">
        <f t="shared" si="1"/>
        <v>1150</v>
      </c>
    </row>
    <row r="8" spans="1:10" ht="19.5" customHeight="1" x14ac:dyDescent="0.25">
      <c r="A8" s="44">
        <f t="shared" si="0"/>
        <v>4</v>
      </c>
      <c r="B8" s="45">
        <v>45751</v>
      </c>
      <c r="C8" s="33" t="s">
        <v>43</v>
      </c>
      <c r="D8" s="33" t="s">
        <v>60</v>
      </c>
      <c r="E8" s="46">
        <v>3200</v>
      </c>
      <c r="F8" s="47">
        <f>IF(E8=0,0,MIN(E8,'⚙️ Configuração'!C5)*'⚙️ Configuração'!E5)</f>
        <v>0</v>
      </c>
      <c r="G8" s="47">
        <f>IF(E8&lt;='⚙️ Configuração'!C5,0,MIN(E8,'⚙️ Configuração'!C6)-'⚙️ Configuração'!C5)*'⚙️ Configuração'!E6</f>
        <v>160</v>
      </c>
      <c r="H8" s="47">
        <f>IF(E8&lt;='⚙️ Configuração'!C6,0,MIN(E8,'⚙️ Configuração'!C7)-'⚙️ Configuração'!C6)*'⚙️ Configuração'!E7</f>
        <v>0</v>
      </c>
      <c r="I8" s="47">
        <f>IF(E8&lt;='⚙️ Configuração'!C7,0,(E8-'⚙️ Configuração'!C7)*'⚙️ Configuração'!E8)</f>
        <v>0</v>
      </c>
      <c r="J8" s="43">
        <f t="shared" si="1"/>
        <v>160</v>
      </c>
    </row>
    <row r="9" spans="1:10" ht="19.5" customHeight="1" x14ac:dyDescent="0.25">
      <c r="A9" s="39">
        <f t="shared" si="0"/>
        <v>5</v>
      </c>
      <c r="B9" s="40">
        <v>45752</v>
      </c>
      <c r="C9" s="35" t="s">
        <v>44</v>
      </c>
      <c r="D9" s="35" t="s">
        <v>61</v>
      </c>
      <c r="E9" s="41">
        <v>28000</v>
      </c>
      <c r="F9" s="42">
        <f>IF(E9=0,0,MIN(E9,'⚙️ Configuração'!C5)*'⚙️ Configuração'!E5)</f>
        <v>0</v>
      </c>
      <c r="G9" s="42">
        <f>IF(E9&lt;='⚙️ Configuração'!C5,0,MIN(E9,'⚙️ Configuração'!C6)-'⚙️ Configuração'!C5)*'⚙️ Configuração'!E6</f>
        <v>250</v>
      </c>
      <c r="H9" s="42">
        <f>IF(E9&lt;='⚙️ Configuração'!C6,0,MIN(E9,'⚙️ Configuração'!C7)-'⚙️ Configuração'!C6)*'⚙️ Configuração'!E7</f>
        <v>400</v>
      </c>
      <c r="I9" s="42">
        <f>IF(E9&lt;='⚙️ Configuração'!C7,0,(E9-'⚙️ Configuração'!C7)*'⚙️ Configuração'!E8)</f>
        <v>1800</v>
      </c>
      <c r="J9" s="43">
        <f t="shared" si="1"/>
        <v>2450</v>
      </c>
    </row>
    <row r="10" spans="1:10" ht="19.5" customHeight="1" x14ac:dyDescent="0.25">
      <c r="A10" s="44">
        <f t="shared" si="0"/>
        <v>6</v>
      </c>
      <c r="B10" s="45">
        <v>45754</v>
      </c>
      <c r="C10" s="33" t="s">
        <v>40</v>
      </c>
      <c r="D10" s="33" t="s">
        <v>62</v>
      </c>
      <c r="E10" s="46">
        <v>6500</v>
      </c>
      <c r="F10" s="47">
        <f>IF(E10=0,0,MIN(E10,'⚙️ Configuração'!C5)*'⚙️ Configuração'!E5)</f>
        <v>0</v>
      </c>
      <c r="G10" s="47">
        <f>IF(E10&lt;='⚙️ Configuração'!C5,0,MIN(E10,'⚙️ Configuração'!C6)-'⚙️ Configuração'!C5)*'⚙️ Configuração'!E6</f>
        <v>250</v>
      </c>
      <c r="H10" s="47">
        <f>IF(E10&lt;='⚙️ Configuração'!C6,0,MIN(E10,'⚙️ Configuração'!C7)-'⚙️ Configuração'!C6)*'⚙️ Configuração'!E7</f>
        <v>120</v>
      </c>
      <c r="I10" s="47">
        <f>IF(E10&lt;='⚙️ Configuração'!C7,0,(E10-'⚙️ Configuração'!C7)*'⚙️ Configuração'!E8)</f>
        <v>0</v>
      </c>
      <c r="J10" s="43">
        <f t="shared" si="1"/>
        <v>370</v>
      </c>
    </row>
    <row r="11" spans="1:10" ht="19.5" customHeight="1" x14ac:dyDescent="0.25">
      <c r="A11" s="39">
        <f t="shared" si="0"/>
        <v>7</v>
      </c>
      <c r="B11" s="40">
        <v>45755</v>
      </c>
      <c r="C11" s="35" t="s">
        <v>41</v>
      </c>
      <c r="D11" s="35" t="s">
        <v>63</v>
      </c>
      <c r="E11" s="41">
        <v>11000</v>
      </c>
      <c r="F11" s="42">
        <f>IF(E11=0,0,MIN(E11,'⚙️ Configuração'!C5)*'⚙️ Configuração'!E5)</f>
        <v>0</v>
      </c>
      <c r="G11" s="42">
        <f>IF(E11&lt;='⚙️ Configuração'!C5,0,MIN(E11,'⚙️ Configuração'!C6)-'⚙️ Configuração'!C5)*'⚙️ Configuração'!E6</f>
        <v>250</v>
      </c>
      <c r="H11" s="42">
        <f>IF(E11&lt;='⚙️ Configuração'!C6,0,MIN(E11,'⚙️ Configuração'!C7)-'⚙️ Configuração'!C6)*'⚙️ Configuração'!E7</f>
        <v>400</v>
      </c>
      <c r="I11" s="42">
        <f>IF(E11&lt;='⚙️ Configuração'!C7,0,(E11-'⚙️ Configuração'!C7)*'⚙️ Configuração'!E8)</f>
        <v>100</v>
      </c>
      <c r="J11" s="43">
        <f t="shared" si="1"/>
        <v>750</v>
      </c>
    </row>
    <row r="12" spans="1:10" ht="19.5" customHeight="1" x14ac:dyDescent="0.25">
      <c r="A12" s="44">
        <f t="shared" si="0"/>
        <v>8</v>
      </c>
      <c r="B12" s="45">
        <v>45756</v>
      </c>
      <c r="C12" s="33" t="s">
        <v>42</v>
      </c>
      <c r="D12" s="33" t="s">
        <v>64</v>
      </c>
      <c r="E12" s="46">
        <v>9500</v>
      </c>
      <c r="F12" s="47">
        <f>IF(E12=0,0,MIN(E12,'⚙️ Configuração'!C5)*'⚙️ Configuração'!E5)</f>
        <v>0</v>
      </c>
      <c r="G12" s="47">
        <f>IF(E12&lt;='⚙️ Configuração'!C5,0,MIN(E12,'⚙️ Configuração'!C6)-'⚙️ Configuração'!C5)*'⚙️ Configuração'!E6</f>
        <v>250</v>
      </c>
      <c r="H12" s="47">
        <f>IF(E12&lt;='⚙️ Configuração'!C6,0,MIN(E12,'⚙️ Configuração'!C7)-'⚙️ Configuração'!C6)*'⚙️ Configuração'!E7</f>
        <v>360</v>
      </c>
      <c r="I12" s="47">
        <f>IF(E12&lt;='⚙️ Configuração'!C7,0,(E12-'⚙️ Configuração'!C7)*'⚙️ Configuração'!E8)</f>
        <v>0</v>
      </c>
      <c r="J12" s="43">
        <f t="shared" si="1"/>
        <v>610</v>
      </c>
    </row>
    <row r="13" spans="1:10" ht="19.5" customHeight="1" x14ac:dyDescent="0.25">
      <c r="A13" s="39">
        <f t="shared" si="0"/>
        <v>9</v>
      </c>
      <c r="B13" s="40">
        <v>45757</v>
      </c>
      <c r="C13" s="35" t="s">
        <v>43</v>
      </c>
      <c r="D13" s="35" t="s">
        <v>65</v>
      </c>
      <c r="E13" s="41">
        <v>5500</v>
      </c>
      <c r="F13" s="42">
        <f>IF(E13=0,0,MIN(E13,'⚙️ Configuração'!C5)*'⚙️ Configuração'!E5)</f>
        <v>0</v>
      </c>
      <c r="G13" s="42">
        <f>IF(E13&lt;='⚙️ Configuração'!C5,0,MIN(E13,'⚙️ Configuração'!C6)-'⚙️ Configuração'!C5)*'⚙️ Configuração'!E6</f>
        <v>250</v>
      </c>
      <c r="H13" s="42">
        <f>IF(E13&lt;='⚙️ Configuração'!C6,0,MIN(E13,'⚙️ Configuração'!C7)-'⚙️ Configuração'!C6)*'⚙️ Configuração'!E7</f>
        <v>40</v>
      </c>
      <c r="I13" s="42">
        <f>IF(E13&lt;='⚙️ Configuração'!C7,0,(E13-'⚙️ Configuração'!C7)*'⚙️ Configuração'!E8)</f>
        <v>0</v>
      </c>
      <c r="J13" s="43">
        <f t="shared" si="1"/>
        <v>290</v>
      </c>
    </row>
    <row r="14" spans="1:10" ht="19.5" customHeight="1" x14ac:dyDescent="0.25">
      <c r="A14" s="44">
        <f t="shared" si="0"/>
        <v>10</v>
      </c>
      <c r="B14" s="45">
        <v>45758</v>
      </c>
      <c r="C14" s="33" t="s">
        <v>44</v>
      </c>
      <c r="D14" s="33" t="s">
        <v>66</v>
      </c>
      <c r="E14" s="46">
        <v>35000</v>
      </c>
      <c r="F14" s="47">
        <f>IF(E14=0,0,MIN(E14,'⚙️ Configuração'!C5)*'⚙️ Configuração'!E5)</f>
        <v>0</v>
      </c>
      <c r="G14" s="47">
        <f>IF(E14&lt;='⚙️ Configuração'!C5,0,MIN(E14,'⚙️ Configuração'!C6)-'⚙️ Configuração'!C5)*'⚙️ Configuração'!E6</f>
        <v>250</v>
      </c>
      <c r="H14" s="47">
        <f>IF(E14&lt;='⚙️ Configuração'!C6,0,MIN(E14,'⚙️ Configuração'!C7)-'⚙️ Configuração'!C6)*'⚙️ Configuração'!E7</f>
        <v>400</v>
      </c>
      <c r="I14" s="47">
        <f>IF(E14&lt;='⚙️ Configuração'!C7,0,(E14-'⚙️ Configuração'!C7)*'⚙️ Configuração'!E8)</f>
        <v>2500</v>
      </c>
      <c r="J14" s="43">
        <f t="shared" si="1"/>
        <v>3150</v>
      </c>
    </row>
    <row r="15" spans="1:10" ht="21.75" customHeight="1" x14ac:dyDescent="0.25">
      <c r="A15" s="3" t="s">
        <v>67</v>
      </c>
      <c r="B15" s="3"/>
      <c r="C15" s="3"/>
      <c r="D15" s="3"/>
      <c r="E15" s="48">
        <f t="shared" ref="E15:J15" si="2">SUM(E5:E14)</f>
        <v>126000</v>
      </c>
      <c r="F15" s="48">
        <f t="shared" si="2"/>
        <v>0</v>
      </c>
      <c r="G15" s="48">
        <f t="shared" si="2"/>
        <v>2385</v>
      </c>
      <c r="H15" s="48">
        <f t="shared" si="2"/>
        <v>2344</v>
      </c>
      <c r="I15" s="48">
        <f t="shared" si="2"/>
        <v>4900</v>
      </c>
      <c r="J15" s="48">
        <f t="shared" si="2"/>
        <v>9629</v>
      </c>
    </row>
  </sheetData>
  <mergeCells count="3">
    <mergeCell ref="A1:I2"/>
    <mergeCell ref="A3:I3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H11"/>
  <sheetViews>
    <sheetView showGridLines="0" zoomScaleNormal="100" workbookViewId="0">
      <selection activeCell="E13" sqref="E13"/>
    </sheetView>
  </sheetViews>
  <sheetFormatPr defaultColWidth="8.7109375" defaultRowHeight="15" x14ac:dyDescent="0.25"/>
  <cols>
    <col min="1" max="1" width="18" customWidth="1"/>
    <col min="2" max="2" width="20" customWidth="1"/>
    <col min="3" max="3" width="18" customWidth="1"/>
    <col min="4" max="4" width="12" customWidth="1"/>
    <col min="5" max="5" width="20" customWidth="1"/>
    <col min="6" max="6" width="18" customWidth="1"/>
    <col min="7" max="7" width="20" customWidth="1"/>
    <col min="8" max="8" width="36" customWidth="1"/>
  </cols>
  <sheetData>
    <row r="1" spans="1:8" ht="21.75" customHeight="1" x14ac:dyDescent="0.25">
      <c r="A1" s="2" t="s">
        <v>68</v>
      </c>
      <c r="B1" s="2"/>
      <c r="C1" s="2"/>
      <c r="D1" s="2"/>
      <c r="E1" s="2"/>
      <c r="F1" s="2"/>
      <c r="G1" s="2"/>
      <c r="H1" s="2"/>
    </row>
    <row r="2" spans="1:8" ht="21.75" customHeight="1" x14ac:dyDescent="0.25">
      <c r="A2" s="2"/>
      <c r="B2" s="2"/>
      <c r="C2" s="2"/>
      <c r="D2" s="2"/>
      <c r="E2" s="2"/>
      <c r="F2" s="2"/>
      <c r="G2" s="2"/>
      <c r="H2" s="2"/>
    </row>
    <row r="4" spans="1:8" ht="21.75" customHeight="1" x14ac:dyDescent="0.25">
      <c r="A4" s="12" t="s">
        <v>69</v>
      </c>
      <c r="B4" s="12"/>
      <c r="C4" s="12"/>
      <c r="D4" s="12"/>
      <c r="E4" s="12"/>
      <c r="F4" s="12"/>
      <c r="G4" s="12"/>
      <c r="H4" s="12"/>
    </row>
    <row r="5" spans="1:8" ht="30" customHeight="1" x14ac:dyDescent="0.25">
      <c r="A5" s="49" t="s">
        <v>36</v>
      </c>
      <c r="B5" s="49" t="s">
        <v>70</v>
      </c>
      <c r="C5" s="49" t="s">
        <v>71</v>
      </c>
      <c r="D5" s="49" t="s">
        <v>72</v>
      </c>
      <c r="E5" s="49" t="s">
        <v>73</v>
      </c>
      <c r="F5" s="49" t="s">
        <v>74</v>
      </c>
      <c r="G5" s="49" t="s">
        <v>75</v>
      </c>
      <c r="H5" s="49" t="s">
        <v>76</v>
      </c>
    </row>
    <row r="6" spans="1:8" ht="21.75" customHeight="1" x14ac:dyDescent="0.25">
      <c r="A6" s="50" t="s">
        <v>40</v>
      </c>
      <c r="B6" s="47">
        <f>SUMIF('📊 Lançamentos'!C:C,A6,'📊 Lançamentos'!E:E)</f>
        <v>11000</v>
      </c>
      <c r="C6" s="47">
        <f>'⚙️ Configuração'!B12</f>
        <v>15000</v>
      </c>
      <c r="D6" s="51">
        <f>IF(C6=0,0,B6/C6)</f>
        <v>0.73333333333333328</v>
      </c>
      <c r="E6" s="43">
        <f>SUMIF('📊 Lançamentos'!C:C,A6,'📊 Lançamentos'!J:J)</f>
        <v>595</v>
      </c>
      <c r="F6" s="52">
        <f>IF(B6=0,0,E6/B6)</f>
        <v>5.4090909090909092E-2</v>
      </c>
      <c r="G6" s="53" t="str">
        <f>IF(D6&gt;=1,"🏆 Meta Atingida",IF(D6&gt;=0.8,"⚠️ Quase lá","❌ Abaixo da Meta"))</f>
        <v>❌ Abaixo da Meta</v>
      </c>
      <c r="H6" s="54" t="str">
        <f>IF(D6&gt;=1,"Parabéns! Superou a meta em "&amp;TEXT(B6-C6,"R$ #,##0"),IF(D6&gt;=0.8,"Faltam "&amp;TEXT(C6-B6,"R$ #,##0")&amp;" para bater a meta","Precisa de "&amp;TEXT(C6-B6,"R$ #,##0")&amp;" para a meta"))</f>
        <v>Precisa de R$ 4000,0 para a meta</v>
      </c>
    </row>
    <row r="7" spans="1:8" ht="21.75" customHeight="1" x14ac:dyDescent="0.25">
      <c r="A7" s="55" t="s">
        <v>41</v>
      </c>
      <c r="B7" s="42">
        <f>SUMIF('📊 Lançamentos'!C:C,A7,'📊 Lançamentos'!E:E)</f>
        <v>18800</v>
      </c>
      <c r="C7" s="42">
        <f>'⚙️ Configuração'!B13</f>
        <v>12000</v>
      </c>
      <c r="D7" s="56">
        <f>IF(C7=0,0,B7/C7)</f>
        <v>1.5666666666666667</v>
      </c>
      <c r="E7" s="43">
        <f>SUMIF('📊 Lançamentos'!C:C,A7,'📊 Lançamentos'!J:J)</f>
        <v>1224</v>
      </c>
      <c r="F7" s="57">
        <f>IF(B7=0,0,E7/B7)</f>
        <v>6.5106382978723398E-2</v>
      </c>
      <c r="G7" s="58" t="str">
        <f>IF(D7&gt;=1,"🏆 Meta Atingida",IF(D7&gt;=0.8,"⚠️ Quase lá","❌ Abaixo da Meta"))</f>
        <v>🏆 Meta Atingida</v>
      </c>
      <c r="H7" s="59" t="str">
        <f>IF(D7&gt;=1,"Parabéns! Superou a meta em "&amp;TEXT(B7-C7,"R$ #,##0"),IF(D7&gt;=0.8,"Faltam "&amp;TEXT(C7-B7,"R$ #,##0")&amp;" para bater a meta","Precisa de "&amp;TEXT(C7-B7,"R$ #,##0")&amp;" para a meta"))</f>
        <v>Parabéns! Superou a meta em R$ 6800,0</v>
      </c>
    </row>
    <row r="8" spans="1:8" ht="21.75" customHeight="1" x14ac:dyDescent="0.25">
      <c r="A8" s="50" t="s">
        <v>42</v>
      </c>
      <c r="B8" s="47">
        <f>SUMIF('📊 Lançamentos'!C:C,A8,'📊 Lançamentos'!E:E)</f>
        <v>24500</v>
      </c>
      <c r="C8" s="47">
        <f>'⚙️ Configuração'!B14</f>
        <v>18000</v>
      </c>
      <c r="D8" s="51">
        <f>IF(C8=0,0,B8/C8)</f>
        <v>1.3611111111111112</v>
      </c>
      <c r="E8" s="43">
        <f>SUMIF('📊 Lançamentos'!C:C,A8,'📊 Lançamentos'!J:J)</f>
        <v>1760</v>
      </c>
      <c r="F8" s="52">
        <f>IF(B8=0,0,E8/B8)</f>
        <v>7.1836734693877552E-2</v>
      </c>
      <c r="G8" s="53" t="str">
        <f>IF(D8&gt;=1,"🏆 Meta Atingida",IF(D8&gt;=0.8,"⚠️ Quase lá","❌ Abaixo da Meta"))</f>
        <v>🏆 Meta Atingida</v>
      </c>
      <c r="H8" s="54" t="str">
        <f>IF(D8&gt;=1,"Parabéns! Superou a meta em "&amp;TEXT(B8-C8,"R$ #,##0"),IF(D8&gt;=0.8,"Faltam "&amp;TEXT(C8-B8,"R$ #,##0")&amp;" para bater a meta","Precisa de "&amp;TEXT(C8-B8,"R$ #,##0")&amp;" para a meta"))</f>
        <v>Parabéns! Superou a meta em R$ 6500,0</v>
      </c>
    </row>
    <row r="9" spans="1:8" ht="21.75" customHeight="1" x14ac:dyDescent="0.25">
      <c r="A9" s="55" t="s">
        <v>43</v>
      </c>
      <c r="B9" s="42">
        <f>SUMIF('📊 Lançamentos'!C:C,A9,'📊 Lançamentos'!E:E)</f>
        <v>8700</v>
      </c>
      <c r="C9" s="42">
        <f>'⚙️ Configuração'!B15</f>
        <v>10000</v>
      </c>
      <c r="D9" s="56">
        <f>IF(C9=0,0,B9/C9)</f>
        <v>0.87</v>
      </c>
      <c r="E9" s="43">
        <f>SUMIF('📊 Lançamentos'!C:C,A9,'📊 Lançamentos'!J:J)</f>
        <v>450</v>
      </c>
      <c r="F9" s="57">
        <f>IF(B9=0,0,E9/B9)</f>
        <v>5.1724137931034482E-2</v>
      </c>
      <c r="G9" s="58" t="str">
        <f>IF(D9&gt;=1,"🏆 Meta Atingida",IF(D9&gt;=0.8,"⚠️ Quase lá","❌ Abaixo da Meta"))</f>
        <v>⚠️ Quase lá</v>
      </c>
      <c r="H9" s="59" t="str">
        <f>IF(D9&gt;=1,"Parabéns! Superou a meta em "&amp;TEXT(B9-C9,"R$ #,##0"),IF(D9&gt;=0.8,"Faltam "&amp;TEXT(C9-B9,"R$ #,##0")&amp;" para bater a meta","Precisa de "&amp;TEXT(C9-B9,"R$ #,##0")&amp;" para a meta"))</f>
        <v>Faltam R$ 1300,0 para bater a meta</v>
      </c>
    </row>
    <row r="10" spans="1:8" ht="21.75" customHeight="1" x14ac:dyDescent="0.25">
      <c r="A10" s="50" t="s">
        <v>44</v>
      </c>
      <c r="B10" s="47">
        <f>SUMIF('📊 Lançamentos'!C:C,A10,'📊 Lançamentos'!E:E)</f>
        <v>63000</v>
      </c>
      <c r="C10" s="47">
        <f>'⚙️ Configuração'!B16</f>
        <v>20000</v>
      </c>
      <c r="D10" s="51">
        <f>IF(C10=0,0,B10/C10)</f>
        <v>3.15</v>
      </c>
      <c r="E10" s="43">
        <f>SUMIF('📊 Lançamentos'!C:C,A10,'📊 Lançamentos'!J:J)</f>
        <v>5600</v>
      </c>
      <c r="F10" s="52">
        <f>IF(B10=0,0,E10/B10)</f>
        <v>8.8888888888888892E-2</v>
      </c>
      <c r="G10" s="53" t="str">
        <f>IF(D10&gt;=1,"🏆 Meta Atingida",IF(D10&gt;=0.8,"⚠️ Quase lá","❌ Abaixo da Meta"))</f>
        <v>🏆 Meta Atingida</v>
      </c>
      <c r="H10" s="54" t="str">
        <f>IF(D10&gt;=1,"Parabéns! Superou a meta em "&amp;TEXT(B10-C10,"R$ #,##0"),IF(D10&gt;=0.8,"Faltam "&amp;TEXT(C10-B10,"R$ #,##0")&amp;" para bater a meta","Precisa de "&amp;TEXT(C10-B10,"R$ #,##0")&amp;" para a meta"))</f>
        <v>Parabéns! Superou a meta em R$ 43000,0</v>
      </c>
    </row>
    <row r="11" spans="1:8" ht="21.75" customHeight="1" x14ac:dyDescent="0.25">
      <c r="A11" s="37" t="s">
        <v>77</v>
      </c>
      <c r="B11" s="48">
        <f>SUM(B6:B10)</f>
        <v>126000</v>
      </c>
      <c r="C11" s="48">
        <f>SUM(C6:C10)</f>
        <v>75000</v>
      </c>
      <c r="D11" s="60"/>
      <c r="E11" s="48">
        <f>SUM(E6:E10)</f>
        <v>9629</v>
      </c>
      <c r="F11" s="60"/>
      <c r="G11" s="60"/>
      <c r="H11" s="60"/>
    </row>
  </sheetData>
  <mergeCells count="2">
    <mergeCell ref="A1:H2"/>
    <mergeCell ref="A4:H4"/>
  </mergeCells>
  <conditionalFormatting sqref="D6:D10">
    <cfRule type="cellIs" dxfId="2" priority="2" operator="greaterThanOrEqual">
      <formula>1</formula>
    </cfRule>
    <cfRule type="cellIs" dxfId="1" priority="3" operator="between">
      <formula>0.8</formula>
      <formula>0.9999</formula>
    </cfRule>
    <cfRule type="cellIs" dxfId="0" priority="4" operator="lessThan">
      <formula>0.8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B212"/>
  <sheetViews>
    <sheetView showGridLines="0" zoomScaleNormal="100" workbookViewId="0">
      <selection activeCell="A15" sqref="A15"/>
    </sheetView>
  </sheetViews>
  <sheetFormatPr defaultColWidth="8.7109375" defaultRowHeight="15" x14ac:dyDescent="0.25"/>
  <cols>
    <col min="1" max="1" width="120" customWidth="1"/>
    <col min="2" max="2" width="30" customWidth="1"/>
  </cols>
  <sheetData>
    <row r="1" spans="1:2" ht="19.5" customHeight="1" x14ac:dyDescent="0.25">
      <c r="A1" s="1" t="s">
        <v>78</v>
      </c>
      <c r="B1" s="1"/>
    </row>
    <row r="2" spans="1:2" ht="19.5" customHeight="1" x14ac:dyDescent="0.25">
      <c r="A2" s="1"/>
      <c r="B2" s="1"/>
    </row>
    <row r="3" spans="1:2" ht="18" customHeight="1" x14ac:dyDescent="0.25">
      <c r="A3" s="65" t="s">
        <v>79</v>
      </c>
      <c r="B3" s="65"/>
    </row>
    <row r="5" spans="1:2" ht="15" customHeight="1" x14ac:dyDescent="0.25">
      <c r="A5" s="61" t="s">
        <v>80</v>
      </c>
    </row>
    <row r="6" spans="1:2" ht="15" customHeight="1" x14ac:dyDescent="0.25">
      <c r="A6" s="61" t="s">
        <v>81</v>
      </c>
    </row>
    <row r="7" spans="1:2" ht="15" customHeight="1" x14ac:dyDescent="0.25">
      <c r="A7" s="61" t="s">
        <v>82</v>
      </c>
    </row>
    <row r="8" spans="1:2" ht="15" customHeight="1" x14ac:dyDescent="0.25">
      <c r="A8" s="61" t="s">
        <v>83</v>
      </c>
    </row>
    <row r="9" spans="1:2" ht="15" customHeight="1" x14ac:dyDescent="0.25">
      <c r="A9" s="61" t="s">
        <v>80</v>
      </c>
    </row>
    <row r="10" spans="1:2" ht="15" customHeight="1" x14ac:dyDescent="0.25">
      <c r="A10" s="62"/>
    </row>
    <row r="11" spans="1:2" ht="15" customHeight="1" x14ac:dyDescent="0.25">
      <c r="A11" s="62" t="s">
        <v>84</v>
      </c>
    </row>
    <row r="12" spans="1:2" ht="15" customHeight="1" x14ac:dyDescent="0.25">
      <c r="A12" s="62"/>
    </row>
    <row r="13" spans="1:2" ht="15" customHeight="1" x14ac:dyDescent="0.25">
      <c r="A13" s="63" t="s">
        <v>85</v>
      </c>
    </row>
    <row r="14" spans="1:2" ht="15" customHeight="1" x14ac:dyDescent="0.25">
      <c r="A14" s="61" t="s">
        <v>86</v>
      </c>
    </row>
    <row r="15" spans="1:2" ht="15" customHeight="1" x14ac:dyDescent="0.25">
      <c r="A15" s="61" t="s">
        <v>87</v>
      </c>
    </row>
    <row r="16" spans="1:2" ht="15" customHeight="1" x14ac:dyDescent="0.25">
      <c r="A16" s="61" t="s">
        <v>88</v>
      </c>
    </row>
    <row r="17" spans="1:1" ht="15" customHeight="1" x14ac:dyDescent="0.25">
      <c r="A17" s="61" t="s">
        <v>89</v>
      </c>
    </row>
    <row r="18" spans="1:1" ht="15" customHeight="1" x14ac:dyDescent="0.25">
      <c r="A18" s="63" t="s">
        <v>85</v>
      </c>
    </row>
    <row r="19" spans="1:1" ht="15" customHeight="1" x14ac:dyDescent="0.25">
      <c r="A19" s="64" t="s">
        <v>90</v>
      </c>
    </row>
    <row r="20" spans="1:1" ht="15" customHeight="1" x14ac:dyDescent="0.25">
      <c r="A20" s="62" t="s">
        <v>91</v>
      </c>
    </row>
    <row r="21" spans="1:1" ht="15" customHeight="1" x14ac:dyDescent="0.25">
      <c r="A21" s="62" t="s">
        <v>92</v>
      </c>
    </row>
    <row r="22" spans="1:1" ht="15" customHeight="1" x14ac:dyDescent="0.25">
      <c r="A22" s="62" t="s">
        <v>93</v>
      </c>
    </row>
    <row r="23" spans="1:1" ht="15" customHeight="1" x14ac:dyDescent="0.25">
      <c r="A23" s="62"/>
    </row>
    <row r="24" spans="1:1" ht="15" customHeight="1" x14ac:dyDescent="0.25">
      <c r="A24" s="62" t="s">
        <v>94</v>
      </c>
    </row>
    <row r="25" spans="1:1" ht="15" customHeight="1" x14ac:dyDescent="0.25">
      <c r="A25" s="62"/>
    </row>
    <row r="26" spans="1:1" ht="15" customHeight="1" x14ac:dyDescent="0.25">
      <c r="A26" s="61" t="s">
        <v>95</v>
      </c>
    </row>
    <row r="27" spans="1:1" ht="15" customHeight="1" x14ac:dyDescent="0.25">
      <c r="A27" s="62" t="s">
        <v>96</v>
      </c>
    </row>
    <row r="28" spans="1:1" ht="15" customHeight="1" x14ac:dyDescent="0.25">
      <c r="A28" s="62" t="s">
        <v>97</v>
      </c>
    </row>
    <row r="29" spans="1:1" ht="15" customHeight="1" x14ac:dyDescent="0.25">
      <c r="A29" s="62" t="s">
        <v>98</v>
      </c>
    </row>
    <row r="30" spans="1:1" ht="15" customHeight="1" x14ac:dyDescent="0.25">
      <c r="A30" s="62"/>
    </row>
    <row r="31" spans="1:1" ht="15" customHeight="1" x14ac:dyDescent="0.25">
      <c r="A31" s="62" t="s">
        <v>99</v>
      </c>
    </row>
    <row r="32" spans="1:1" ht="15" customHeight="1" x14ac:dyDescent="0.25">
      <c r="A32" s="62"/>
    </row>
    <row r="33" spans="1:1" ht="15" customHeight="1" x14ac:dyDescent="0.25">
      <c r="A33" s="61" t="s">
        <v>100</v>
      </c>
    </row>
    <row r="34" spans="1:1" ht="15" customHeight="1" x14ac:dyDescent="0.25">
      <c r="A34" s="62" t="s">
        <v>101</v>
      </c>
    </row>
    <row r="35" spans="1:1" ht="15" customHeight="1" x14ac:dyDescent="0.25">
      <c r="A35" s="62"/>
    </row>
    <row r="36" spans="1:1" ht="15" customHeight="1" x14ac:dyDescent="0.25">
      <c r="A36" s="62" t="s">
        <v>102</v>
      </c>
    </row>
    <row r="37" spans="1:1" ht="15" customHeight="1" x14ac:dyDescent="0.25">
      <c r="A37" s="62" t="s">
        <v>103</v>
      </c>
    </row>
    <row r="38" spans="1:1" ht="15" customHeight="1" x14ac:dyDescent="0.25">
      <c r="A38" s="62" t="s">
        <v>104</v>
      </c>
    </row>
    <row r="39" spans="1:1" ht="15" customHeight="1" x14ac:dyDescent="0.25">
      <c r="A39" s="62" t="s">
        <v>105</v>
      </c>
    </row>
    <row r="40" spans="1:1" ht="15" customHeight="1" x14ac:dyDescent="0.25">
      <c r="A40" s="62"/>
    </row>
    <row r="41" spans="1:1" ht="15" customHeight="1" x14ac:dyDescent="0.25">
      <c r="A41" s="61" t="s">
        <v>106</v>
      </c>
    </row>
    <row r="42" spans="1:1" ht="15" customHeight="1" x14ac:dyDescent="0.25">
      <c r="A42" s="61" t="s">
        <v>107</v>
      </c>
    </row>
    <row r="43" spans="1:1" ht="15" customHeight="1" x14ac:dyDescent="0.25">
      <c r="A43" s="62" t="s">
        <v>108</v>
      </c>
    </row>
    <row r="44" spans="1:1" ht="15" customHeight="1" x14ac:dyDescent="0.25">
      <c r="A44" s="62"/>
    </row>
    <row r="45" spans="1:1" ht="15" customHeight="1" x14ac:dyDescent="0.25">
      <c r="A45" s="62" t="s">
        <v>109</v>
      </c>
    </row>
    <row r="46" spans="1:1" ht="15" customHeight="1" x14ac:dyDescent="0.25">
      <c r="A46" s="64" t="s">
        <v>110</v>
      </c>
    </row>
    <row r="47" spans="1:1" ht="15" customHeight="1" x14ac:dyDescent="0.25">
      <c r="A47" s="62"/>
    </row>
    <row r="48" spans="1:1" ht="15" customHeight="1" x14ac:dyDescent="0.25">
      <c r="A48" s="62"/>
    </row>
    <row r="49" spans="1:1" ht="15" customHeight="1" x14ac:dyDescent="0.25">
      <c r="A49" s="63" t="s">
        <v>85</v>
      </c>
    </row>
    <row r="50" spans="1:1" ht="15" customHeight="1" x14ac:dyDescent="0.25">
      <c r="A50" s="61" t="s">
        <v>111</v>
      </c>
    </row>
    <row r="51" spans="1:1" ht="15" customHeight="1" x14ac:dyDescent="0.25">
      <c r="A51" s="61" t="s">
        <v>112</v>
      </c>
    </row>
    <row r="52" spans="1:1" ht="15" customHeight="1" x14ac:dyDescent="0.25">
      <c r="A52" s="61" t="s">
        <v>113</v>
      </c>
    </row>
    <row r="53" spans="1:1" ht="15" customHeight="1" x14ac:dyDescent="0.25">
      <c r="A53" s="61" t="s">
        <v>114</v>
      </c>
    </row>
    <row r="54" spans="1:1" ht="15" customHeight="1" x14ac:dyDescent="0.25">
      <c r="A54" s="63" t="s">
        <v>85</v>
      </c>
    </row>
    <row r="55" spans="1:1" ht="15" customHeight="1" x14ac:dyDescent="0.25">
      <c r="A55" s="64" t="s">
        <v>115</v>
      </c>
    </row>
    <row r="56" spans="1:1" ht="15" customHeight="1" x14ac:dyDescent="0.25">
      <c r="A56" s="62" t="s">
        <v>116</v>
      </c>
    </row>
    <row r="57" spans="1:1" ht="15" customHeight="1" x14ac:dyDescent="0.25">
      <c r="A57" s="62" t="s">
        <v>117</v>
      </c>
    </row>
    <row r="58" spans="1:1" ht="15" customHeight="1" x14ac:dyDescent="0.25">
      <c r="A58" s="62" t="s">
        <v>118</v>
      </c>
    </row>
    <row r="59" spans="1:1" ht="15" customHeight="1" x14ac:dyDescent="0.25">
      <c r="A59" s="62" t="s">
        <v>119</v>
      </c>
    </row>
    <row r="60" spans="1:1" ht="15" customHeight="1" x14ac:dyDescent="0.25">
      <c r="A60" s="62"/>
    </row>
    <row r="61" spans="1:1" ht="15" customHeight="1" x14ac:dyDescent="0.25">
      <c r="A61" s="62" t="s">
        <v>120</v>
      </c>
    </row>
    <row r="62" spans="1:1" ht="15" customHeight="1" x14ac:dyDescent="0.25">
      <c r="A62" s="62"/>
    </row>
    <row r="63" spans="1:1" ht="15" customHeight="1" x14ac:dyDescent="0.25">
      <c r="A63" s="61" t="s">
        <v>121</v>
      </c>
    </row>
    <row r="64" spans="1:1" ht="15" customHeight="1" x14ac:dyDescent="0.25">
      <c r="A64" s="62" t="s">
        <v>122</v>
      </c>
    </row>
    <row r="65" spans="1:1" ht="15" customHeight="1" x14ac:dyDescent="0.25">
      <c r="A65" s="62" t="s">
        <v>123</v>
      </c>
    </row>
    <row r="66" spans="1:1" ht="15" customHeight="1" x14ac:dyDescent="0.25">
      <c r="A66" s="62"/>
    </row>
    <row r="67" spans="1:1" ht="15" customHeight="1" x14ac:dyDescent="0.25">
      <c r="A67" s="62" t="s">
        <v>124</v>
      </c>
    </row>
    <row r="68" spans="1:1" ht="15" customHeight="1" x14ac:dyDescent="0.25">
      <c r="A68" s="62"/>
    </row>
    <row r="69" spans="1:1" ht="15" customHeight="1" x14ac:dyDescent="0.25">
      <c r="A69" s="62" t="s">
        <v>125</v>
      </c>
    </row>
    <row r="70" spans="1:1" ht="15" customHeight="1" x14ac:dyDescent="0.25">
      <c r="A70" s="62" t="s">
        <v>126</v>
      </c>
    </row>
    <row r="71" spans="1:1" ht="15" customHeight="1" x14ac:dyDescent="0.25">
      <c r="A71" s="62" t="s">
        <v>127</v>
      </c>
    </row>
    <row r="72" spans="1:1" ht="15" customHeight="1" x14ac:dyDescent="0.25">
      <c r="A72" s="62"/>
    </row>
    <row r="73" spans="1:1" ht="15" customHeight="1" x14ac:dyDescent="0.25">
      <c r="A73" s="62" t="s">
        <v>128</v>
      </c>
    </row>
    <row r="74" spans="1:1" ht="15" customHeight="1" x14ac:dyDescent="0.25">
      <c r="A74" s="62" t="s">
        <v>129</v>
      </c>
    </row>
    <row r="75" spans="1:1" ht="15" customHeight="1" x14ac:dyDescent="0.25">
      <c r="A75" s="62" t="s">
        <v>130</v>
      </c>
    </row>
    <row r="76" spans="1:1" ht="15" customHeight="1" x14ac:dyDescent="0.25">
      <c r="A76" s="62" t="s">
        <v>104</v>
      </c>
    </row>
    <row r="77" spans="1:1" ht="15" customHeight="1" x14ac:dyDescent="0.25">
      <c r="A77" s="62" t="s">
        <v>105</v>
      </c>
    </row>
    <row r="78" spans="1:1" ht="15" customHeight="1" x14ac:dyDescent="0.25">
      <c r="A78" s="62"/>
    </row>
    <row r="79" spans="1:1" ht="15" customHeight="1" x14ac:dyDescent="0.25">
      <c r="A79" s="61" t="s">
        <v>131</v>
      </c>
    </row>
    <row r="80" spans="1:1" ht="15" customHeight="1" x14ac:dyDescent="0.25">
      <c r="A80" s="62" t="s">
        <v>132</v>
      </c>
    </row>
    <row r="81" spans="1:1" ht="15" customHeight="1" x14ac:dyDescent="0.25">
      <c r="A81" s="62" t="s">
        <v>133</v>
      </c>
    </row>
    <row r="82" spans="1:1" ht="15" customHeight="1" x14ac:dyDescent="0.25">
      <c r="A82" s="62"/>
    </row>
    <row r="83" spans="1:1" ht="15" customHeight="1" x14ac:dyDescent="0.25">
      <c r="A83" s="62" t="s">
        <v>134</v>
      </c>
    </row>
    <row r="84" spans="1:1" ht="15" customHeight="1" x14ac:dyDescent="0.25">
      <c r="A84" s="62" t="s">
        <v>135</v>
      </c>
    </row>
    <row r="85" spans="1:1" ht="15" customHeight="1" x14ac:dyDescent="0.25">
      <c r="A85" s="62" t="s">
        <v>136</v>
      </c>
    </row>
    <row r="86" spans="1:1" ht="15" customHeight="1" x14ac:dyDescent="0.25">
      <c r="A86" s="62"/>
    </row>
    <row r="87" spans="1:1" ht="15" customHeight="1" x14ac:dyDescent="0.25">
      <c r="A87" s="62" t="s">
        <v>137</v>
      </c>
    </row>
    <row r="88" spans="1:1" ht="15" customHeight="1" x14ac:dyDescent="0.25">
      <c r="A88" s="62" t="s">
        <v>138</v>
      </c>
    </row>
    <row r="89" spans="1:1" ht="15" customHeight="1" x14ac:dyDescent="0.25">
      <c r="A89" s="62" t="s">
        <v>139</v>
      </c>
    </row>
    <row r="90" spans="1:1" ht="15" customHeight="1" x14ac:dyDescent="0.25">
      <c r="A90" s="62" t="s">
        <v>140</v>
      </c>
    </row>
    <row r="91" spans="1:1" ht="15" customHeight="1" x14ac:dyDescent="0.25">
      <c r="A91" s="62"/>
    </row>
    <row r="92" spans="1:1" ht="15" customHeight="1" x14ac:dyDescent="0.25">
      <c r="A92" s="63" t="s">
        <v>141</v>
      </c>
    </row>
    <row r="93" spans="1:1" ht="15" customHeight="1" x14ac:dyDescent="0.25">
      <c r="A93" s="62" t="s">
        <v>142</v>
      </c>
    </row>
    <row r="94" spans="1:1" ht="15" customHeight="1" x14ac:dyDescent="0.25">
      <c r="A94" s="62"/>
    </row>
    <row r="95" spans="1:1" ht="15" customHeight="1" x14ac:dyDescent="0.25">
      <c r="A95" s="61" t="s">
        <v>143</v>
      </c>
    </row>
    <row r="96" spans="1:1" ht="15" customHeight="1" x14ac:dyDescent="0.25">
      <c r="A96" s="62" t="s">
        <v>144</v>
      </c>
    </row>
    <row r="97" spans="1:1" ht="15" customHeight="1" x14ac:dyDescent="0.25">
      <c r="A97" s="62"/>
    </row>
    <row r="98" spans="1:1" ht="15" customHeight="1" x14ac:dyDescent="0.25">
      <c r="A98" s="61" t="s">
        <v>145</v>
      </c>
    </row>
    <row r="99" spans="1:1" ht="15" customHeight="1" x14ac:dyDescent="0.25">
      <c r="A99" s="62" t="s">
        <v>146</v>
      </c>
    </row>
    <row r="100" spans="1:1" ht="15" customHeight="1" x14ac:dyDescent="0.25">
      <c r="A100" s="62" t="s">
        <v>147</v>
      </c>
    </row>
    <row r="101" spans="1:1" ht="15" customHeight="1" x14ac:dyDescent="0.25">
      <c r="A101" s="62"/>
    </row>
    <row r="102" spans="1:1" ht="15" customHeight="1" x14ac:dyDescent="0.25">
      <c r="A102" s="61" t="s">
        <v>148</v>
      </c>
    </row>
    <row r="103" spans="1:1" ht="15" customHeight="1" x14ac:dyDescent="0.25">
      <c r="A103" s="62" t="s">
        <v>149</v>
      </c>
    </row>
    <row r="104" spans="1:1" ht="15" customHeight="1" x14ac:dyDescent="0.25">
      <c r="A104" s="62" t="s">
        <v>150</v>
      </c>
    </row>
    <row r="105" spans="1:1" ht="15" customHeight="1" x14ac:dyDescent="0.25">
      <c r="A105" s="62"/>
    </row>
    <row r="106" spans="1:1" ht="15" customHeight="1" x14ac:dyDescent="0.25">
      <c r="A106" s="61" t="s">
        <v>151</v>
      </c>
    </row>
    <row r="107" spans="1:1" ht="15" customHeight="1" x14ac:dyDescent="0.25">
      <c r="A107" s="62" t="s">
        <v>152</v>
      </c>
    </row>
    <row r="108" spans="1:1" ht="15" customHeight="1" x14ac:dyDescent="0.25">
      <c r="A108" s="62"/>
    </row>
    <row r="109" spans="1:1" ht="15" customHeight="1" x14ac:dyDescent="0.25">
      <c r="A109" s="62" t="s">
        <v>153</v>
      </c>
    </row>
    <row r="110" spans="1:1" ht="15" customHeight="1" x14ac:dyDescent="0.25">
      <c r="A110" s="62"/>
    </row>
    <row r="111" spans="1:1" ht="15" customHeight="1" x14ac:dyDescent="0.25">
      <c r="A111" s="61" t="s">
        <v>154</v>
      </c>
    </row>
    <row r="112" spans="1:1" ht="15" customHeight="1" x14ac:dyDescent="0.25">
      <c r="A112" s="62" t="s">
        <v>155</v>
      </c>
    </row>
    <row r="113" spans="1:1" ht="15" customHeight="1" x14ac:dyDescent="0.25">
      <c r="A113" s="62" t="s">
        <v>156</v>
      </c>
    </row>
    <row r="114" spans="1:1" ht="15" customHeight="1" x14ac:dyDescent="0.25">
      <c r="A114" s="62" t="s">
        <v>157</v>
      </c>
    </row>
    <row r="115" spans="1:1" ht="15" customHeight="1" x14ac:dyDescent="0.25">
      <c r="A115" s="62" t="s">
        <v>158</v>
      </c>
    </row>
    <row r="116" spans="1:1" ht="15" customHeight="1" x14ac:dyDescent="0.25">
      <c r="A116" s="62" t="s">
        <v>159</v>
      </c>
    </row>
    <row r="117" spans="1:1" ht="15" customHeight="1" x14ac:dyDescent="0.25">
      <c r="A117" s="62" t="s">
        <v>160</v>
      </c>
    </row>
    <row r="118" spans="1:1" ht="15" customHeight="1" x14ac:dyDescent="0.25">
      <c r="A118" s="62" t="s">
        <v>161</v>
      </c>
    </row>
    <row r="119" spans="1:1" ht="15" customHeight="1" x14ac:dyDescent="0.25">
      <c r="A119" s="62" t="s">
        <v>162</v>
      </c>
    </row>
    <row r="120" spans="1:1" ht="15" customHeight="1" x14ac:dyDescent="0.25">
      <c r="A120" s="62" t="s">
        <v>163</v>
      </c>
    </row>
    <row r="121" spans="1:1" ht="15" customHeight="1" x14ac:dyDescent="0.25">
      <c r="A121" s="62" t="s">
        <v>164</v>
      </c>
    </row>
    <row r="122" spans="1:1" ht="15" customHeight="1" x14ac:dyDescent="0.25">
      <c r="A122" s="62" t="s">
        <v>165</v>
      </c>
    </row>
    <row r="123" spans="1:1" ht="15" customHeight="1" x14ac:dyDescent="0.25">
      <c r="A123" s="62" t="s">
        <v>166</v>
      </c>
    </row>
    <row r="124" spans="1:1" ht="15" customHeight="1" x14ac:dyDescent="0.25">
      <c r="A124" s="62" t="s">
        <v>167</v>
      </c>
    </row>
    <row r="125" spans="1:1" ht="15" customHeight="1" x14ac:dyDescent="0.25">
      <c r="A125" s="62"/>
    </row>
    <row r="126" spans="1:1" ht="15" customHeight="1" x14ac:dyDescent="0.25">
      <c r="A126" s="62" t="s">
        <v>168</v>
      </c>
    </row>
    <row r="127" spans="1:1" ht="15" customHeight="1" x14ac:dyDescent="0.25">
      <c r="A127" s="62" t="s">
        <v>169</v>
      </c>
    </row>
    <row r="128" spans="1:1" ht="15" customHeight="1" x14ac:dyDescent="0.25">
      <c r="A128" s="62"/>
    </row>
    <row r="129" spans="1:1" ht="15" customHeight="1" x14ac:dyDescent="0.25">
      <c r="A129" s="62" t="s">
        <v>170</v>
      </c>
    </row>
    <row r="130" spans="1:1" ht="15" customHeight="1" x14ac:dyDescent="0.25">
      <c r="A130" s="62" t="s">
        <v>171</v>
      </c>
    </row>
    <row r="131" spans="1:1" ht="15" customHeight="1" x14ac:dyDescent="0.25">
      <c r="A131" s="64" t="s">
        <v>110</v>
      </c>
    </row>
    <row r="132" spans="1:1" ht="15" customHeight="1" x14ac:dyDescent="0.25">
      <c r="A132" s="62"/>
    </row>
    <row r="133" spans="1:1" ht="15" customHeight="1" x14ac:dyDescent="0.25">
      <c r="A133" s="62"/>
    </row>
    <row r="134" spans="1:1" ht="15" customHeight="1" x14ac:dyDescent="0.25">
      <c r="A134" s="63" t="s">
        <v>85</v>
      </c>
    </row>
    <row r="135" spans="1:1" ht="15" customHeight="1" x14ac:dyDescent="0.25">
      <c r="A135" s="61" t="s">
        <v>172</v>
      </c>
    </row>
    <row r="136" spans="1:1" ht="15" customHeight="1" x14ac:dyDescent="0.25">
      <c r="A136" s="61" t="s">
        <v>173</v>
      </c>
    </row>
    <row r="137" spans="1:1" ht="15" customHeight="1" x14ac:dyDescent="0.25">
      <c r="A137" s="61" t="s">
        <v>174</v>
      </c>
    </row>
    <row r="138" spans="1:1" ht="15" customHeight="1" x14ac:dyDescent="0.25">
      <c r="A138" s="63" t="s">
        <v>85</v>
      </c>
    </row>
    <row r="139" spans="1:1" ht="15" customHeight="1" x14ac:dyDescent="0.25">
      <c r="A139" s="64" t="s">
        <v>175</v>
      </c>
    </row>
    <row r="140" spans="1:1" ht="15" customHeight="1" x14ac:dyDescent="0.25">
      <c r="A140" s="62" t="s">
        <v>176</v>
      </c>
    </row>
    <row r="141" spans="1:1" ht="15" customHeight="1" x14ac:dyDescent="0.25">
      <c r="A141" s="62" t="s">
        <v>177</v>
      </c>
    </row>
    <row r="142" spans="1:1" ht="15" customHeight="1" x14ac:dyDescent="0.25">
      <c r="A142" s="62" t="s">
        <v>178</v>
      </c>
    </row>
    <row r="143" spans="1:1" ht="15" customHeight="1" x14ac:dyDescent="0.25">
      <c r="A143" s="62"/>
    </row>
    <row r="144" spans="1:1" ht="15" customHeight="1" x14ac:dyDescent="0.25">
      <c r="A144" s="62" t="s">
        <v>179</v>
      </c>
    </row>
    <row r="145" spans="1:1" ht="15" customHeight="1" x14ac:dyDescent="0.25">
      <c r="A145" s="62"/>
    </row>
    <row r="146" spans="1:1" ht="15" customHeight="1" x14ac:dyDescent="0.25">
      <c r="A146" s="62" t="s">
        <v>180</v>
      </c>
    </row>
    <row r="147" spans="1:1" ht="15" customHeight="1" x14ac:dyDescent="0.25">
      <c r="A147" s="62"/>
    </row>
    <row r="148" spans="1:1" ht="15" customHeight="1" x14ac:dyDescent="0.25">
      <c r="A148" s="61" t="s">
        <v>181</v>
      </c>
    </row>
    <row r="149" spans="1:1" ht="15" customHeight="1" x14ac:dyDescent="0.25">
      <c r="A149" s="62" t="s">
        <v>182</v>
      </c>
    </row>
    <row r="150" spans="1:1" ht="15" customHeight="1" x14ac:dyDescent="0.25">
      <c r="A150" s="62" t="s">
        <v>183</v>
      </c>
    </row>
    <row r="151" spans="1:1" ht="15" customHeight="1" x14ac:dyDescent="0.25">
      <c r="A151" s="62"/>
    </row>
    <row r="152" spans="1:1" ht="15" customHeight="1" x14ac:dyDescent="0.25">
      <c r="A152" s="61" t="s">
        <v>184</v>
      </c>
    </row>
    <row r="153" spans="1:1" ht="15" customHeight="1" x14ac:dyDescent="0.25">
      <c r="A153" s="62" t="s">
        <v>185</v>
      </c>
    </row>
    <row r="154" spans="1:1" ht="15" customHeight="1" x14ac:dyDescent="0.25">
      <c r="A154" s="62" t="s">
        <v>186</v>
      </c>
    </row>
    <row r="155" spans="1:1" ht="15" customHeight="1" x14ac:dyDescent="0.25">
      <c r="A155" s="62"/>
    </row>
    <row r="156" spans="1:1" ht="15" customHeight="1" x14ac:dyDescent="0.25">
      <c r="A156" s="62" t="s">
        <v>187</v>
      </c>
    </row>
    <row r="157" spans="1:1" ht="15" customHeight="1" x14ac:dyDescent="0.25">
      <c r="A157" s="62" t="s">
        <v>188</v>
      </c>
    </row>
    <row r="158" spans="1:1" ht="15" customHeight="1" x14ac:dyDescent="0.25">
      <c r="A158" s="62"/>
    </row>
    <row r="159" spans="1:1" ht="15" customHeight="1" x14ac:dyDescent="0.25">
      <c r="A159" s="62" t="s">
        <v>189</v>
      </c>
    </row>
    <row r="160" spans="1:1" ht="15" customHeight="1" x14ac:dyDescent="0.25">
      <c r="A160" s="62" t="s">
        <v>190</v>
      </c>
    </row>
    <row r="161" spans="1:1" ht="15" customHeight="1" x14ac:dyDescent="0.25">
      <c r="A161" s="64" t="s">
        <v>110</v>
      </c>
    </row>
    <row r="162" spans="1:1" ht="15" customHeight="1" x14ac:dyDescent="0.25">
      <c r="A162" s="62"/>
    </row>
    <row r="163" spans="1:1" ht="15" customHeight="1" x14ac:dyDescent="0.25">
      <c r="A163" s="62"/>
    </row>
    <row r="164" spans="1:1" ht="15" customHeight="1" x14ac:dyDescent="0.25">
      <c r="A164" s="63" t="s">
        <v>85</v>
      </c>
    </row>
    <row r="165" spans="1:1" ht="15" customHeight="1" x14ac:dyDescent="0.25">
      <c r="A165" s="61" t="s">
        <v>191</v>
      </c>
    </row>
    <row r="166" spans="1:1" ht="15" customHeight="1" x14ac:dyDescent="0.25">
      <c r="A166" s="61" t="s">
        <v>192</v>
      </c>
    </row>
    <row r="167" spans="1:1" ht="15" customHeight="1" x14ac:dyDescent="0.25">
      <c r="A167" s="61" t="s">
        <v>193</v>
      </c>
    </row>
    <row r="168" spans="1:1" ht="15" customHeight="1" x14ac:dyDescent="0.25">
      <c r="A168" s="63" t="s">
        <v>85</v>
      </c>
    </row>
    <row r="169" spans="1:1" ht="15" customHeight="1" x14ac:dyDescent="0.25">
      <c r="A169" s="64" t="s">
        <v>194</v>
      </c>
    </row>
    <row r="170" spans="1:1" ht="15" customHeight="1" x14ac:dyDescent="0.25">
      <c r="A170" s="62" t="s">
        <v>195</v>
      </c>
    </row>
    <row r="171" spans="1:1" ht="15" customHeight="1" x14ac:dyDescent="0.25">
      <c r="A171" s="62" t="s">
        <v>196</v>
      </c>
    </row>
    <row r="172" spans="1:1" ht="15" customHeight="1" x14ac:dyDescent="0.25">
      <c r="A172" s="62"/>
    </row>
    <row r="173" spans="1:1" ht="15" customHeight="1" x14ac:dyDescent="0.25">
      <c r="A173" s="61" t="s">
        <v>197</v>
      </c>
    </row>
    <row r="174" spans="1:1" ht="15" customHeight="1" x14ac:dyDescent="0.25">
      <c r="A174" s="62" t="s">
        <v>198</v>
      </c>
    </row>
    <row r="175" spans="1:1" ht="15" customHeight="1" x14ac:dyDescent="0.25">
      <c r="A175" s="62" t="s">
        <v>199</v>
      </c>
    </row>
    <row r="176" spans="1:1" ht="15" customHeight="1" x14ac:dyDescent="0.25">
      <c r="A176" s="62" t="s">
        <v>200</v>
      </c>
    </row>
    <row r="177" spans="1:1" ht="15" customHeight="1" x14ac:dyDescent="0.25">
      <c r="A177" s="62" t="s">
        <v>201</v>
      </c>
    </row>
    <row r="178" spans="1:1" ht="15" customHeight="1" x14ac:dyDescent="0.25">
      <c r="A178" s="62" t="s">
        <v>202</v>
      </c>
    </row>
    <row r="179" spans="1:1" ht="15" customHeight="1" x14ac:dyDescent="0.25">
      <c r="A179" s="62" t="s">
        <v>203</v>
      </c>
    </row>
    <row r="180" spans="1:1" ht="15" customHeight="1" x14ac:dyDescent="0.25">
      <c r="A180" s="62" t="s">
        <v>204</v>
      </c>
    </row>
    <row r="181" spans="1:1" ht="15" customHeight="1" x14ac:dyDescent="0.25">
      <c r="A181" s="62"/>
    </row>
    <row r="182" spans="1:1" ht="15" customHeight="1" x14ac:dyDescent="0.25">
      <c r="A182" s="61" t="s">
        <v>205</v>
      </c>
    </row>
    <row r="183" spans="1:1" ht="15" customHeight="1" x14ac:dyDescent="0.25">
      <c r="A183" s="62" t="s">
        <v>206</v>
      </c>
    </row>
    <row r="184" spans="1:1" ht="15" customHeight="1" x14ac:dyDescent="0.25">
      <c r="A184" s="62" t="s">
        <v>199</v>
      </c>
    </row>
    <row r="185" spans="1:1" ht="15" customHeight="1" x14ac:dyDescent="0.25">
      <c r="A185" s="62" t="s">
        <v>200</v>
      </c>
    </row>
    <row r="186" spans="1:1" ht="15" customHeight="1" x14ac:dyDescent="0.25">
      <c r="A186" s="62" t="s">
        <v>207</v>
      </c>
    </row>
    <row r="187" spans="1:1" ht="15" customHeight="1" x14ac:dyDescent="0.25">
      <c r="A187" s="62" t="s">
        <v>208</v>
      </c>
    </row>
    <row r="188" spans="1:1" ht="15" customHeight="1" x14ac:dyDescent="0.25">
      <c r="A188" s="62" t="s">
        <v>209</v>
      </c>
    </row>
    <row r="189" spans="1:1" ht="15" customHeight="1" x14ac:dyDescent="0.25">
      <c r="A189" s="62" t="s">
        <v>204</v>
      </c>
    </row>
    <row r="190" spans="1:1" ht="15" customHeight="1" x14ac:dyDescent="0.25">
      <c r="A190" s="62"/>
    </row>
    <row r="191" spans="1:1" ht="15" customHeight="1" x14ac:dyDescent="0.25">
      <c r="A191" s="62" t="s">
        <v>210</v>
      </c>
    </row>
    <row r="192" spans="1:1" ht="15" customHeight="1" x14ac:dyDescent="0.25">
      <c r="A192" s="62" t="s">
        <v>211</v>
      </c>
    </row>
    <row r="193" spans="1:1" ht="15" customHeight="1" x14ac:dyDescent="0.25">
      <c r="A193" s="64" t="s">
        <v>110</v>
      </c>
    </row>
    <row r="194" spans="1:1" ht="15" customHeight="1" x14ac:dyDescent="0.25">
      <c r="A194" s="62"/>
    </row>
    <row r="195" spans="1:1" ht="15" customHeight="1" x14ac:dyDescent="0.25">
      <c r="A195" s="62"/>
    </row>
    <row r="196" spans="1:1" ht="15" customHeight="1" x14ac:dyDescent="0.25">
      <c r="A196" s="63" t="s">
        <v>85</v>
      </c>
    </row>
    <row r="197" spans="1:1" ht="15" customHeight="1" x14ac:dyDescent="0.25">
      <c r="A197" s="61" t="s">
        <v>212</v>
      </c>
    </row>
    <row r="198" spans="1:1" ht="15" customHeight="1" x14ac:dyDescent="0.25">
      <c r="A198" s="61" t="s">
        <v>213</v>
      </c>
    </row>
    <row r="199" spans="1:1" ht="15" customHeight="1" x14ac:dyDescent="0.25">
      <c r="A199" s="63" t="s">
        <v>85</v>
      </c>
    </row>
    <row r="200" spans="1:1" ht="15" customHeight="1" x14ac:dyDescent="0.25">
      <c r="A200" s="64" t="s">
        <v>214</v>
      </c>
    </row>
    <row r="201" spans="1:1" ht="15" customHeight="1" x14ac:dyDescent="0.25">
      <c r="A201" s="62" t="s">
        <v>195</v>
      </c>
    </row>
    <row r="202" spans="1:1" ht="15" customHeight="1" x14ac:dyDescent="0.25">
      <c r="A202" s="62" t="s">
        <v>215</v>
      </c>
    </row>
    <row r="203" spans="1:1" ht="15" customHeight="1" x14ac:dyDescent="0.25">
      <c r="A203" s="62"/>
    </row>
    <row r="204" spans="1:1" ht="15" customHeight="1" x14ac:dyDescent="0.25">
      <c r="A204" s="62" t="s">
        <v>216</v>
      </c>
    </row>
    <row r="205" spans="1:1" ht="15" customHeight="1" x14ac:dyDescent="0.25">
      <c r="A205" s="62"/>
    </row>
    <row r="206" spans="1:1" ht="15" customHeight="1" x14ac:dyDescent="0.25">
      <c r="A206" s="62" t="s">
        <v>217</v>
      </c>
    </row>
    <row r="207" spans="1:1" ht="15" customHeight="1" x14ac:dyDescent="0.25">
      <c r="A207" s="62" t="s">
        <v>218</v>
      </c>
    </row>
    <row r="208" spans="1:1" ht="15" customHeight="1" x14ac:dyDescent="0.25">
      <c r="A208" s="62" t="s">
        <v>219</v>
      </c>
    </row>
    <row r="209" spans="1:1" ht="15" customHeight="1" x14ac:dyDescent="0.25">
      <c r="A209" s="62" t="s">
        <v>127</v>
      </c>
    </row>
    <row r="210" spans="1:1" ht="15" customHeight="1" x14ac:dyDescent="0.25">
      <c r="A210" s="62"/>
    </row>
    <row r="211" spans="1:1" ht="15" customHeight="1" x14ac:dyDescent="0.25">
      <c r="A211" s="62" t="s">
        <v>220</v>
      </c>
    </row>
    <row r="212" spans="1:1" ht="15" customHeight="1" x14ac:dyDescent="0.25">
      <c r="A212" s="64" t="s">
        <v>110</v>
      </c>
    </row>
  </sheetData>
  <mergeCells count="2">
    <mergeCell ref="A1:B2"/>
    <mergeCell ref="A3:B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🏠 Início</vt:lpstr>
      <vt:lpstr>⚙️ Configuração</vt:lpstr>
      <vt:lpstr>📊 Lançamentos</vt:lpstr>
      <vt:lpstr>🏆 Dashboard</vt:lpstr>
      <vt:lpstr>💻 Código VBA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Augusto Castilho</cp:lastModifiedBy>
  <cp:revision>0</cp:revision>
  <dcterms:created xsi:type="dcterms:W3CDTF">2026-04-27T01:57:57Z</dcterms:created>
  <dcterms:modified xsi:type="dcterms:W3CDTF">2026-04-27T02:41:20Z</dcterms:modified>
  <dc:language>en-US</dc:language>
</cp:coreProperties>
</file>